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hidePivotFieldList="1"/>
  <mc:AlternateContent xmlns:mc="http://schemas.openxmlformats.org/markup-compatibility/2006">
    <mc:Choice Requires="x15">
      <x15ac:absPath xmlns:x15ac="http://schemas.microsoft.com/office/spreadsheetml/2010/11/ac" url="/Users/peterbotros/Downloads/"/>
    </mc:Choice>
  </mc:AlternateContent>
  <xr:revisionPtr revIDLastSave="0" documentId="13_ncr:1_{74AB9584-06F1-6F49-85EB-F498C05CA875}" xr6:coauthVersionLast="47" xr6:coauthVersionMax="47" xr10:uidLastSave="{00000000-0000-0000-0000-000000000000}"/>
  <bookViews>
    <workbookView xWindow="0" yWindow="660" windowWidth="21160" windowHeight="18460" activeTab="3" xr2:uid="{EA1DF548-CD78-4ABD-8167-3450884D5CD4}"/>
  </bookViews>
  <sheets>
    <sheet name="Documentation" sheetId="5" r:id="rId1"/>
    <sheet name="Claims Log" sheetId="1" r:id="rId2"/>
    <sheet name="Claim Type by Agent" sheetId="3" r:id="rId3"/>
    <sheet name="Ratings by Claim Type" sheetId="4" r:id="rId4"/>
    <sheet name="Lookups" sheetId="2" r:id="rId5"/>
  </sheets>
  <definedNames>
    <definedName name="Claim_Types">Lookups!$H$5:$H$10</definedName>
    <definedName name="Codes">Lookups!$I$5:$I$10</definedName>
    <definedName name="NativeTimeline_Date">#N/A</definedName>
    <definedName name="Policy_Types">Lookups!$B$4:$F$5</definedName>
    <definedName name="Slicer_Claim_Type">#N/A</definedName>
  </definedNames>
  <calcPr calcId="191029"/>
  <pivotCaches>
    <pivotCache cacheId="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1" l="1"/>
  <c r="Q16" i="1"/>
  <c r="R7" i="1"/>
  <c r="R8" i="1"/>
  <c r="R9" i="1"/>
  <c r="R10" i="1"/>
  <c r="R11" i="1"/>
  <c r="R12" i="1"/>
  <c r="R6" i="1"/>
  <c r="Q7" i="1"/>
  <c r="Q8" i="1"/>
  <c r="Q9" i="1"/>
  <c r="Q10" i="1"/>
  <c r="Q11" i="1"/>
  <c r="Q12" i="1"/>
  <c r="Q6" i="1"/>
  <c r="N7" i="1" a="1"/>
  <c r="N7" i="1" s="1"/>
  <c r="N8" i="1" a="1"/>
  <c r="N8" i="1"/>
  <c r="N9" i="1" a="1"/>
  <c r="N9" i="1" s="1"/>
  <c r="N10" i="1" a="1"/>
  <c r="N10" i="1"/>
  <c r="N11" i="1" a="1"/>
  <c r="N11" i="1" s="1"/>
  <c r="N12" i="1" a="1"/>
  <c r="N12" i="1"/>
  <c r="N13" i="1" a="1"/>
  <c r="N13" i="1" s="1"/>
  <c r="N14" i="1" a="1"/>
  <c r="N14" i="1"/>
  <c r="N15" i="1" a="1"/>
  <c r="N15" i="1" s="1"/>
  <c r="N16" i="1" a="1"/>
  <c r="N16" i="1"/>
  <c r="N17" i="1" a="1"/>
  <c r="N17" i="1" s="1"/>
  <c r="N18" i="1" a="1"/>
  <c r="N18" i="1" s="1"/>
  <c r="N19" i="1" a="1"/>
  <c r="N19" i="1" s="1"/>
  <c r="N6" i="1" a="1"/>
  <c r="N6" i="1" s="1"/>
  <c r="N20" i="1" a="1"/>
  <c r="N20" i="1"/>
  <c r="N21" i="1" a="1"/>
  <c r="N21" i="1" s="1"/>
  <c r="N22" i="1" a="1"/>
  <c r="N22" i="1" s="1"/>
  <c r="N23" i="1" a="1"/>
  <c r="N23" i="1"/>
  <c r="N24" i="1" a="1"/>
  <c r="N24" i="1"/>
  <c r="N25" i="1" a="1"/>
  <c r="N25" i="1" s="1"/>
  <c r="N26" i="1" a="1"/>
  <c r="N26" i="1" s="1"/>
  <c r="N27" i="1" a="1"/>
  <c r="N27" i="1"/>
  <c r="N28" i="1" a="1"/>
  <c r="N28" i="1"/>
  <c r="N29" i="1" a="1"/>
  <c r="N29" i="1" s="1"/>
  <c r="N30" i="1" a="1"/>
  <c r="N30" i="1" s="1"/>
  <c r="N31" i="1" a="1"/>
  <c r="N31" i="1" s="1"/>
  <c r="N32" i="1" a="1"/>
  <c r="N32" i="1"/>
  <c r="N33" i="1" a="1"/>
  <c r="N33" i="1" s="1"/>
  <c r="N34" i="1" a="1"/>
  <c r="N34" i="1" s="1"/>
  <c r="N35" i="1" a="1"/>
  <c r="N35" i="1"/>
  <c r="N36" i="1" a="1"/>
  <c r="N36" i="1"/>
  <c r="N37" i="1" a="1"/>
  <c r="N37" i="1" s="1"/>
  <c r="N38" i="1" a="1"/>
  <c r="N38" i="1" s="1"/>
  <c r="N39" i="1" a="1"/>
  <c r="N39" i="1"/>
  <c r="N40" i="1" a="1"/>
  <c r="N40" i="1"/>
  <c r="N41" i="1" a="1"/>
  <c r="N41" i="1" s="1"/>
  <c r="N42" i="1" a="1"/>
  <c r="N42" i="1" s="1"/>
  <c r="N43" i="1" a="1"/>
  <c r="N43" i="1"/>
  <c r="N44" i="1" a="1"/>
  <c r="N44" i="1"/>
  <c r="N45" i="1" a="1"/>
  <c r="N45" i="1" s="1"/>
  <c r="N46" i="1" a="1"/>
  <c r="N46" i="1" s="1"/>
  <c r="N47" i="1" a="1"/>
  <c r="N47" i="1"/>
  <c r="N48" i="1" a="1"/>
  <c r="N48" i="1"/>
  <c r="N49" i="1" a="1"/>
  <c r="N49" i="1" s="1"/>
  <c r="N50" i="1" a="1"/>
  <c r="N50" i="1" s="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<sst xmlns="http://schemas.openxmlformats.org/spreadsheetml/2006/main" count="129" uniqueCount="66">
  <si>
    <t>Policy Number</t>
  </si>
  <si>
    <t>Prefix</t>
  </si>
  <si>
    <t>ID</t>
  </si>
  <si>
    <t>Agent</t>
  </si>
  <si>
    <t>Date</t>
  </si>
  <si>
    <t>Policy Type</t>
  </si>
  <si>
    <t>Claim Code</t>
  </si>
  <si>
    <t>Claim Type</t>
  </si>
  <si>
    <t>Coverage</t>
  </si>
  <si>
    <t>Value</t>
  </si>
  <si>
    <t>Service</t>
  </si>
  <si>
    <t>Home</t>
  </si>
  <si>
    <t>Life</t>
  </si>
  <si>
    <t>Auto</t>
  </si>
  <si>
    <t>Renters</t>
  </si>
  <si>
    <t>Rec Vehicle</t>
  </si>
  <si>
    <t>Fernandez</t>
  </si>
  <si>
    <t>Hawkins</t>
  </si>
  <si>
    <t>Khouri</t>
  </si>
  <si>
    <t>Wan</t>
  </si>
  <si>
    <t>Ramos</t>
  </si>
  <si>
    <t>Laramie</t>
  </si>
  <si>
    <t>Pfeffer</t>
  </si>
  <si>
    <t>Business liability</t>
  </si>
  <si>
    <t>Accident/damage</t>
  </si>
  <si>
    <t>General</t>
  </si>
  <si>
    <t>Homeowner</t>
  </si>
  <si>
    <t>Life insurance</t>
  </si>
  <si>
    <t>Property damage</t>
  </si>
  <si>
    <t>Customer Ratings</t>
  </si>
  <si>
    <t>Average</t>
  </si>
  <si>
    <t>Excellent</t>
  </si>
  <si>
    <t>Poor</t>
  </si>
  <si>
    <t>Very Satisfactory</t>
  </si>
  <si>
    <t>Satisfactory</t>
  </si>
  <si>
    <t>Neutral</t>
  </si>
  <si>
    <t>Unsatisfactory</t>
  </si>
  <si>
    <t>Very Unsatisfactory</t>
  </si>
  <si>
    <t>Claims</t>
  </si>
  <si>
    <t>Avg Rating</t>
  </si>
  <si>
    <t>Summary</t>
  </si>
  <si>
    <t>Customer Satisfaction Ratings</t>
  </si>
  <si>
    <t>Rating</t>
  </si>
  <si>
    <t>Description</t>
  </si>
  <si>
    <t>Policy Type Lookup Table</t>
  </si>
  <si>
    <t>Claim Type Lookup Table</t>
  </si>
  <si>
    <t>Record Locator</t>
  </si>
  <si>
    <t>Record Number</t>
  </si>
  <si>
    <t>Highest</t>
  </si>
  <si>
    <t>Lowest</t>
  </si>
  <si>
    <t>Claim ID</t>
  </si>
  <si>
    <t>Follow Up</t>
  </si>
  <si>
    <t>Insurance Claims: March-May</t>
  </si>
  <si>
    <t>Panoramic Insurance</t>
  </si>
  <si>
    <t>SUMMARIZING DATA WITH PIVOTTABLES</t>
  </si>
  <si>
    <t>Author:</t>
  </si>
  <si>
    <t>Peter Botros</t>
  </si>
  <si>
    <t>Note: Do not edit this sheet. If your name does not appear in cell B6, please download a new copy of the file from the SAM website.</t>
  </si>
  <si>
    <t>Column Labels</t>
  </si>
  <si>
    <t>Grand Total</t>
  </si>
  <si>
    <t>Row Labels</t>
  </si>
  <si>
    <t>Count of Policy Type</t>
  </si>
  <si>
    <t>Claim Types</t>
  </si>
  <si>
    <t>Agents</t>
  </si>
  <si>
    <t>Apr</t>
  </si>
  <si>
    <t>Average of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</si>
</sst>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orbel"/>
      <family val="2"/>
      <scheme val="minor"/>
    </font>
    <font>
      <sz val="18"/>
      <color theme="3"/>
      <name val="Corbel"/>
      <family val="2"/>
      <scheme val="major"/>
    </font>
    <font>
      <sz val="12"/>
      <color theme="1"/>
      <name val="Corbel"/>
      <family val="2"/>
      <scheme val="minor"/>
    </font>
    <font>
      <sz val="12"/>
      <color theme="3"/>
      <name val="Corbel"/>
      <family val="2"/>
      <scheme val="major"/>
    </font>
    <font>
      <b/>
      <sz val="12"/>
      <color theme="1"/>
      <name val="Corbel"/>
      <family val="2"/>
      <scheme val="minor"/>
    </font>
    <font>
      <b/>
      <sz val="13"/>
      <name val="Corbel"/>
      <family val="2"/>
      <scheme val="minor"/>
    </font>
    <font>
      <b/>
      <sz val="13"/>
      <color theme="1"/>
      <name val="Corbel"/>
      <family val="2"/>
      <scheme val="minor"/>
    </font>
    <font>
      <sz val="11"/>
      <color theme="1"/>
      <name val="Corbel"/>
      <family val="2"/>
      <scheme val="minor"/>
    </font>
    <font>
      <sz val="10"/>
      <name val="Arial"/>
      <family val="2"/>
    </font>
    <font>
      <sz val="28"/>
      <color rgb="FF0070C0"/>
      <name val="Century Gothic"/>
      <family val="2"/>
    </font>
    <font>
      <sz val="11"/>
      <color rgb="FF000000"/>
      <name val="Century Gothic"/>
      <family val="2"/>
    </font>
    <font>
      <sz val="10"/>
      <color theme="0"/>
      <name val="Century Gothic"/>
      <family val="2"/>
    </font>
    <font>
      <sz val="10"/>
      <name val="Century Gothic"/>
      <family val="2"/>
    </font>
    <font>
      <sz val="28"/>
      <color rgb="FF292F7C"/>
      <name val="Century Gothic"/>
      <family val="2"/>
    </font>
    <font>
      <sz val="10"/>
      <color rgb="FF0070C0"/>
      <name val="Century Gothic"/>
      <family val="2"/>
    </font>
    <font>
      <sz val="11"/>
      <color rgb="FF4B4C4C"/>
      <name val="Century Gothic"/>
      <family val="2"/>
    </font>
    <font>
      <i/>
      <sz val="10"/>
      <color rgb="FFCC6600"/>
      <name val="Century Gothic"/>
      <family val="2"/>
    </font>
    <font>
      <i/>
      <sz val="10"/>
      <name val="Century Gothic"/>
      <family val="2"/>
    </font>
  </fonts>
  <fills count="6">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theme="5"/>
        <bgColor indexed="64"/>
      </patternFill>
    </fill>
    <fill>
      <patternFill patternType="solid">
        <fgColor theme="0"/>
        <bgColor theme="0"/>
      </patternFill>
    </fill>
  </fills>
  <borders count="11">
    <border>
      <left/>
      <right/>
      <top/>
      <bottom/>
      <diagonal/>
    </border>
    <border>
      <left/>
      <right/>
      <top style="medium">
        <color auto="1"/>
      </top>
      <bottom style="medium">
        <color auto="1"/>
      </bottom>
      <diagonal/>
    </border>
    <border>
      <left/>
      <right/>
      <top/>
      <bottom style="medium">
        <color auto="1"/>
      </bottom>
      <diagonal/>
    </border>
    <border>
      <left/>
      <right/>
      <top style="medium">
        <color auto="1"/>
      </top>
      <bottom style="thin">
        <color theme="2" tint="-0.24994659260841701"/>
      </bottom>
      <diagonal/>
    </border>
    <border>
      <left/>
      <right/>
      <top style="thin">
        <color theme="2" tint="-0.24994659260841701"/>
      </top>
      <bottom style="thin">
        <color theme="2" tint="-0.24994659260841701"/>
      </bottom>
      <diagonal/>
    </border>
    <border>
      <left/>
      <right/>
      <top/>
      <bottom style="medium">
        <color theme="5"/>
      </bottom>
      <diagonal/>
    </border>
    <border>
      <left/>
      <right/>
      <top style="medium">
        <color theme="5"/>
      </top>
      <bottom style="thin">
        <color theme="2" tint="-0.24994659260841701"/>
      </bottom>
      <diagonal/>
    </border>
    <border>
      <left/>
      <right style="thick">
        <color rgb="FF93A5B2"/>
      </right>
      <top/>
      <bottom/>
      <diagonal/>
    </border>
    <border>
      <left/>
      <right/>
      <top/>
      <bottom style="thin">
        <color rgb="FF93A5B2"/>
      </bottom>
      <diagonal/>
    </border>
    <border>
      <left/>
      <right/>
      <top/>
      <bottom style="thick">
        <color rgb="FF93A5B2"/>
      </bottom>
      <diagonal/>
    </border>
    <border>
      <left/>
      <right style="thick">
        <color rgb="FF93A5B2"/>
      </right>
      <top/>
      <bottom style="thick">
        <color rgb="FF93A5B2"/>
      </bottom>
      <diagonal/>
    </border>
  </borders>
  <cellStyleXfs count="6">
    <xf numFmtId="0" fontId="0" fillId="0" borderId="0"/>
    <xf numFmtId="0" fontId="1" fillId="0" borderId="0" applyNumberFormat="0" applyFill="0" applyBorder="0" applyAlignment="0" applyProtection="0"/>
    <xf numFmtId="0" fontId="8" fillId="0" borderId="0"/>
    <xf numFmtId="0" fontId="7" fillId="0" borderId="0"/>
    <xf numFmtId="0" fontId="9" fillId="2" borderId="0">
      <alignment vertical="top" wrapText="1"/>
    </xf>
    <xf numFmtId="0" fontId="10" fillId="2" borderId="0">
      <alignment vertical="top" wrapText="1"/>
    </xf>
  </cellStyleXfs>
  <cellXfs count="57">
    <xf numFmtId="0" fontId="0" fillId="0" borderId="0" xfId="0"/>
    <xf numFmtId="0" fontId="0" fillId="2" borderId="0" xfId="0" applyFill="1"/>
    <xf numFmtId="0" fontId="2" fillId="2" borderId="0" xfId="0" applyFont="1" applyFill="1"/>
    <xf numFmtId="0" fontId="2" fillId="0" borderId="0" xfId="0" applyFont="1"/>
    <xf numFmtId="0" fontId="2" fillId="0" borderId="0" xfId="0" applyFont="1" applyAlignment="1">
      <alignment horizontal="center"/>
    </xf>
    <xf numFmtId="0" fontId="5" fillId="0" borderId="0" xfId="0" applyFont="1" applyAlignment="1">
      <alignment horizontal="center" vertical="center"/>
    </xf>
    <xf numFmtId="0" fontId="2" fillId="3" borderId="0" xfId="0" applyFont="1" applyFill="1"/>
    <xf numFmtId="0" fontId="2" fillId="3" borderId="0" xfId="0" applyFont="1" applyFill="1" applyAlignment="1">
      <alignment vertical="center"/>
    </xf>
    <xf numFmtId="14" fontId="2" fillId="0" borderId="0" xfId="0" applyNumberFormat="1" applyFont="1"/>
    <xf numFmtId="0" fontId="1" fillId="2" borderId="0" xfId="1" applyFill="1" applyAlignment="1"/>
    <xf numFmtId="16" fontId="2" fillId="2" borderId="0" xfId="0" quotePrefix="1" applyNumberFormat="1" applyFont="1" applyFill="1"/>
    <xf numFmtId="0" fontId="2" fillId="2" borderId="0" xfId="0" quotePrefix="1" applyFont="1" applyFill="1"/>
    <xf numFmtId="0" fontId="6" fillId="4" borderId="1" xfId="0" applyFont="1" applyFill="1" applyBorder="1" applyAlignment="1">
      <alignment vertical="center"/>
    </xf>
    <xf numFmtId="0" fontId="2" fillId="2" borderId="3" xfId="0" applyFont="1" applyFill="1" applyBorder="1"/>
    <xf numFmtId="0" fontId="2" fillId="2" borderId="4" xfId="0" applyFont="1" applyFill="1" applyBorder="1"/>
    <xf numFmtId="0" fontId="6" fillId="4" borderId="1" xfId="0" applyFont="1" applyFill="1" applyBorder="1" applyAlignment="1">
      <alignment horizontal="center" vertic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4" fillId="2" borderId="0" xfId="0" applyFont="1" applyFill="1"/>
    <xf numFmtId="0" fontId="4" fillId="2" borderId="6" xfId="0" applyFont="1" applyFill="1" applyBorder="1"/>
    <xf numFmtId="0" fontId="2" fillId="2" borderId="6" xfId="0" applyFont="1" applyFill="1" applyBorder="1" applyAlignment="1">
      <alignment horizontal="left"/>
    </xf>
    <xf numFmtId="0" fontId="4" fillId="2" borderId="4" xfId="0" applyFont="1" applyFill="1" applyBorder="1"/>
    <xf numFmtId="0" fontId="3" fillId="2" borderId="4" xfId="1" applyFont="1" applyFill="1" applyBorder="1" applyAlignment="1">
      <alignment horizontal="left"/>
    </xf>
    <xf numFmtId="0" fontId="3" fillId="2" borderId="4" xfId="1" applyFont="1" applyFill="1" applyBorder="1" applyAlignment="1"/>
    <xf numFmtId="164" fontId="2" fillId="0" borderId="0" xfId="0" applyNumberFormat="1" applyFont="1" applyAlignment="1">
      <alignment horizontal="center"/>
    </xf>
    <xf numFmtId="164" fontId="2" fillId="2" borderId="3" xfId="0" applyNumberFormat="1" applyFont="1" applyFill="1" applyBorder="1" applyAlignment="1">
      <alignment horizontal="center"/>
    </xf>
    <xf numFmtId="164" fontId="2" fillId="2" borderId="4" xfId="0" applyNumberFormat="1" applyFont="1" applyFill="1" applyBorder="1" applyAlignment="1">
      <alignment horizontal="center"/>
    </xf>
    <xf numFmtId="1" fontId="2" fillId="0" borderId="0" xfId="0" applyNumberFormat="1" applyFont="1" applyAlignment="1">
      <alignment horizontal="center"/>
    </xf>
    <xf numFmtId="0" fontId="8" fillId="0" borderId="0" xfId="2"/>
    <xf numFmtId="0" fontId="12" fillId="0" borderId="0" xfId="2" applyFont="1" applyAlignment="1">
      <alignment vertical="center"/>
    </xf>
    <xf numFmtId="0" fontId="7" fillId="0" borderId="0" xfId="3"/>
    <xf numFmtId="0" fontId="12" fillId="2" borderId="7" xfId="2" applyFont="1" applyFill="1" applyBorder="1" applyAlignment="1">
      <alignment horizontal="left"/>
    </xf>
    <xf numFmtId="0" fontId="12" fillId="2" borderId="0" xfId="2" applyFont="1" applyFill="1" applyAlignment="1">
      <alignment horizontal="left"/>
    </xf>
    <xf numFmtId="0" fontId="13" fillId="2" borderId="0" xfId="4" applyFont="1" applyAlignment="1">
      <alignment horizontal="left" vertical="top" wrapText="1"/>
    </xf>
    <xf numFmtId="0" fontId="14" fillId="2" borderId="7" xfId="2" applyFont="1" applyFill="1" applyBorder="1" applyAlignment="1">
      <alignment horizontal="left" wrapText="1"/>
    </xf>
    <xf numFmtId="0" fontId="8" fillId="0" borderId="0" xfId="2" applyAlignment="1">
      <alignment wrapText="1"/>
    </xf>
    <xf numFmtId="0" fontId="15" fillId="2" borderId="0" xfId="5" applyFont="1" applyAlignment="1">
      <alignment horizontal="left" vertical="top" wrapText="1"/>
    </xf>
    <xf numFmtId="0" fontId="12" fillId="2" borderId="0" xfId="2" applyFont="1" applyFill="1" applyAlignment="1">
      <alignment horizontal="right"/>
    </xf>
    <xf numFmtId="0" fontId="16" fillId="5" borderId="8" xfId="2" applyFont="1" applyFill="1" applyBorder="1" applyAlignment="1">
      <alignment horizontal="left"/>
    </xf>
    <xf numFmtId="0" fontId="11" fillId="0" borderId="0" xfId="2" applyFont="1" applyAlignment="1">
      <alignment horizontal="left" vertical="center" indent="7"/>
    </xf>
    <xf numFmtId="0" fontId="11" fillId="0" borderId="7" xfId="2" applyFont="1" applyBorder="1" applyAlignment="1">
      <alignment horizontal="left" vertical="center" indent="7"/>
    </xf>
    <xf numFmtId="0" fontId="17" fillId="2" borderId="0" xfId="2" applyFont="1" applyFill="1" applyAlignment="1">
      <alignment horizontal="center" vertical="center" wrapText="1"/>
    </xf>
    <xf numFmtId="0" fontId="17" fillId="2" borderId="7" xfId="2" applyFont="1" applyFill="1" applyBorder="1" applyAlignment="1">
      <alignment horizontal="center" vertical="center" wrapText="1"/>
    </xf>
    <xf numFmtId="0" fontId="17" fillId="2" borderId="9" xfId="2" applyFont="1" applyFill="1" applyBorder="1" applyAlignment="1">
      <alignment horizontal="center" vertical="center" wrapText="1"/>
    </xf>
    <xf numFmtId="0" fontId="17" fillId="2" borderId="10" xfId="2" applyFont="1" applyFill="1" applyBorder="1" applyAlignment="1">
      <alignment horizontal="center" vertical="center" wrapText="1"/>
    </xf>
    <xf numFmtId="0" fontId="1" fillId="2" borderId="0" xfId="1" applyFill="1" applyAlignment="1"/>
    <xf numFmtId="0" fontId="2" fillId="3" borderId="2" xfId="0" applyFont="1" applyFill="1" applyBorder="1" applyAlignment="1">
      <alignment horizontal="center"/>
    </xf>
    <xf numFmtId="0" fontId="2" fillId="3" borderId="0" xfId="0" applyFont="1" applyFill="1" applyAlignment="1">
      <alignment horizontal="center"/>
    </xf>
    <xf numFmtId="0" fontId="6" fillId="4" borderId="1" xfId="0" applyFont="1" applyFill="1" applyBorder="1" applyAlignment="1">
      <alignment horizontal="center" vertical="center"/>
    </xf>
    <xf numFmtId="0" fontId="2" fillId="3" borderId="0" xfId="0" applyFont="1" applyFill="1" applyAlignment="1">
      <alignment horizontal="center" vertical="center"/>
    </xf>
    <xf numFmtId="0" fontId="2" fillId="2" borderId="3" xfId="0" applyFont="1" applyFill="1" applyBorder="1" applyAlignment="1">
      <alignment horizontal="center"/>
    </xf>
    <xf numFmtId="0" fontId="1" fillId="2" borderId="5" xfId="1" applyFill="1" applyBorder="1"/>
    <xf numFmtId="0" fontId="1" fillId="2" borderId="5" xfId="1" applyFill="1" applyBorder="1" applyAlignment="1"/>
    <xf numFmtId="0" fontId="0" fillId="0" borderId="0" xfId="0" pivotButton="1"/>
    <xf numFmtId="0" fontId="0" fillId="0" borderId="0" xfId="0" applyAlignment="1">
      <alignment horizontal="left"/>
    </xf>
    <xf numFmtId="0" fontId="0" fillId="0" borderId="0" xfId="0" applyNumberFormat="1" applyAlignment="1">
      <alignment horizontal="center"/>
    </xf>
    <xf numFmtId="164" fontId="0" fillId="0" borderId="0" xfId="0" applyNumberFormat="1"/>
  </cellXfs>
  <cellStyles count="6">
    <cellStyle name="Normal" xfId="0" builtinId="0"/>
    <cellStyle name="Normal 2 2" xfId="2" xr:uid="{327A807F-0083-4597-92D2-E18433AB945E}"/>
    <cellStyle name="Normal 3" xfId="3" xr:uid="{07E8CD93-5B6B-4301-A48D-A53550BEFE5D}"/>
    <cellStyle name="Student Name" xfId="4" xr:uid="{6BEB0F9A-3F96-4070-9BCC-834968CDF0DF}"/>
    <cellStyle name="Submission" xfId="5" xr:uid="{CDF233A7-6B97-4F70-9AFB-64B7C0C016AF}"/>
    <cellStyle name="Title" xfId="1" builtinId="15"/>
  </cellStyles>
  <dxfs count="56">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vertical="bottom"/>
    </dxf>
    <dxf>
      <alignment horizontal="center"/>
    </dxf>
    <dxf>
      <alignment horizontal="general"/>
    </dxf>
    <dxf>
      <alignment horizontal="center"/>
    </dxf>
    <dxf>
      <alignment horizontal="center"/>
    </dxf>
    <dxf>
      <alignment vertical="center"/>
    </dxf>
    <dxf>
      <alignment vertical="bottom"/>
    </dxf>
    <dxf>
      <font>
        <strike val="0"/>
        <outline val="0"/>
        <shadow val="0"/>
        <u val="none"/>
        <vertAlign val="baseline"/>
        <sz val="12"/>
        <name val="Corbel"/>
        <family val="2"/>
      </font>
      <numFmt numFmtId="0" formatCode="General"/>
      <alignment horizontal="center" vertical="bottom" textRotation="0" wrapText="0" indent="0" justifyLastLine="0" shrinkToFit="0" readingOrder="0"/>
    </dxf>
    <dxf>
      <font>
        <strike val="0"/>
        <outline val="0"/>
        <shadow val="0"/>
        <u val="none"/>
        <vertAlign val="baseline"/>
        <sz val="12"/>
        <name val="Corbel"/>
        <family val="2"/>
      </font>
      <numFmt numFmtId="164" formatCode="0.0"/>
      <alignment horizontal="center" vertical="bottom" textRotation="0" wrapText="0" indent="0" justifyLastLine="0" shrinkToFit="0" readingOrder="0"/>
    </dxf>
    <dxf>
      <font>
        <strike val="0"/>
        <outline val="0"/>
        <shadow val="0"/>
        <u val="none"/>
        <vertAlign val="baseline"/>
        <sz val="12"/>
        <name val="Corbel"/>
        <family val="2"/>
      </font>
      <numFmt numFmtId="0" formatCode="General"/>
    </dxf>
    <dxf>
      <font>
        <strike val="0"/>
        <outline val="0"/>
        <shadow val="0"/>
        <u val="none"/>
        <vertAlign val="baseline"/>
        <sz val="12"/>
        <name val="Corbel"/>
        <family val="2"/>
      </font>
      <numFmt numFmtId="0" formatCode="General"/>
    </dxf>
    <dxf>
      <font>
        <strike val="0"/>
        <outline val="0"/>
        <shadow val="0"/>
        <u val="none"/>
        <vertAlign val="baseline"/>
        <sz val="12"/>
        <name val="Corbel"/>
        <family val="2"/>
      </font>
      <numFmt numFmtId="1" formatCode="0"/>
      <alignment horizontal="center" vertical="bottom" textRotation="0" wrapText="0" indent="0" justifyLastLine="0" shrinkToFit="0" readingOrder="0"/>
    </dxf>
    <dxf>
      <font>
        <strike val="0"/>
        <outline val="0"/>
        <shadow val="0"/>
        <u val="none"/>
        <vertAlign val="baseline"/>
        <sz val="12"/>
        <name val="Corbel"/>
        <family val="2"/>
      </font>
      <numFmt numFmtId="1" formatCode="0"/>
      <alignment horizontal="center" vertical="bottom" textRotation="0" wrapText="0" indent="0" justifyLastLine="0" shrinkToFit="0" readingOrder="0"/>
    </dxf>
    <dxf>
      <font>
        <strike val="0"/>
        <outline val="0"/>
        <shadow val="0"/>
        <u val="none"/>
        <vertAlign val="baseline"/>
        <sz val="12"/>
        <name val="Corbel"/>
        <family val="2"/>
      </font>
      <numFmt numFmtId="1" formatCode="0"/>
      <alignment horizontal="center" vertical="bottom" textRotation="0" wrapText="0" indent="0" justifyLastLine="0" shrinkToFit="0" readingOrder="0"/>
    </dxf>
    <dxf>
      <font>
        <strike val="0"/>
        <outline val="0"/>
        <shadow val="0"/>
        <u val="none"/>
        <vertAlign val="baseline"/>
        <sz val="12"/>
        <name val="Corbel"/>
        <family val="2"/>
      </font>
      <alignment horizontal="center" vertical="bottom" textRotation="0" wrapText="0" indent="0" justifyLastLine="0" shrinkToFit="0" readingOrder="0"/>
    </dxf>
    <dxf>
      <font>
        <strike val="0"/>
        <outline val="0"/>
        <shadow val="0"/>
        <u val="none"/>
        <vertAlign val="baseline"/>
        <sz val="12"/>
        <name val="Corbel"/>
        <family val="2"/>
      </font>
    </dxf>
    <dxf>
      <font>
        <strike val="0"/>
        <outline val="0"/>
        <shadow val="0"/>
        <u val="none"/>
        <vertAlign val="baseline"/>
        <sz val="12"/>
        <name val="Corbel"/>
        <family val="2"/>
      </font>
    </dxf>
    <dxf>
      <font>
        <strike val="0"/>
        <outline val="0"/>
        <shadow val="0"/>
        <u val="none"/>
        <vertAlign val="baseline"/>
        <sz val="12"/>
        <name val="Corbel"/>
        <family val="2"/>
      </font>
    </dxf>
    <dxf>
      <font>
        <strike val="0"/>
        <outline val="0"/>
        <shadow val="0"/>
        <u val="none"/>
        <vertAlign val="baseline"/>
        <sz val="12"/>
        <name val="Corbel"/>
        <family val="2"/>
      </font>
      <numFmt numFmtId="165" formatCode="m/d/yyyy"/>
    </dxf>
    <dxf>
      <font>
        <strike val="0"/>
        <outline val="0"/>
        <shadow val="0"/>
        <u val="none"/>
        <vertAlign val="baseline"/>
        <sz val="12"/>
        <name val="Corbel"/>
        <family val="2"/>
      </font>
    </dxf>
    <dxf>
      <font>
        <strike val="0"/>
        <outline val="0"/>
        <shadow val="0"/>
        <u val="none"/>
        <vertAlign val="baseline"/>
        <sz val="12"/>
        <name val="Corbel"/>
        <family val="2"/>
      </font>
    </dxf>
    <dxf>
      <font>
        <b/>
        <strike val="0"/>
        <outline val="0"/>
        <shadow val="0"/>
        <u val="none"/>
        <vertAlign val="baseline"/>
        <sz val="13"/>
        <color auto="1"/>
        <name val="Corbel"/>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[NP_EX365_7A_PeterBotros_2.xlsx]Claim Type by Agent!AgentClaims </c:name>
    <c:fmtId val="2"/>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14247612806719E-2"/>
          <c:y val="5.0925925925925923E-2"/>
          <c:w val="0.7411367582815489"/>
          <c:h val="0.79081802274715662"/>
        </c:manualLayout>
      </c:layout>
      <c:barChart>
        <c:barDir val="col"/>
        <c:grouping val="clustered"/>
        <c:varyColors val="0"/>
        <c:ser>
          <c:idx val="0"/>
          <c:order val="0"/>
          <c:tx>
            <c:strRef>
              <c:f>'Claim Type by Agent'!$C$3:$C$4</c:f>
              <c:strCache>
                <c:ptCount val="1"/>
                <c:pt idx="0">
                  <c:v>Fernandez</c:v>
                </c:pt>
              </c:strCache>
            </c:strRef>
          </c:tx>
          <c:spPr>
            <a:solidFill>
              <a:schemeClr val="accent2">
                <a:shade val="65000"/>
              </a:schemeClr>
            </a:solidFill>
            <a:ln>
              <a:noFill/>
            </a:ln>
            <a:effectLst/>
          </c:spPr>
          <c:invertIfNegative val="0"/>
          <c:cat>
            <c:strRef>
              <c:f>'Claim Type by Agent'!$B$5:$B$10</c:f>
              <c:strCache>
                <c:ptCount val="5"/>
                <c:pt idx="0">
                  <c:v>Business liability</c:v>
                </c:pt>
                <c:pt idx="1">
                  <c:v>General</c:v>
                </c:pt>
                <c:pt idx="2">
                  <c:v>Homeowner</c:v>
                </c:pt>
                <c:pt idx="3">
                  <c:v>Life insurance</c:v>
                </c:pt>
                <c:pt idx="4">
                  <c:v>Property damage</c:v>
                </c:pt>
              </c:strCache>
            </c:strRef>
          </c:cat>
          <c:val>
            <c:numRef>
              <c:f>'Claim Type by Agent'!$C$5:$C$10</c:f>
              <c:numCache>
                <c:formatCode>General</c:formatCode>
                <c:ptCount val="5"/>
                <c:pt idx="0">
                  <c:v>5</c:v>
                </c:pt>
                <c:pt idx="1">
                  <c:v>1</c:v>
                </c:pt>
                <c:pt idx="2">
                  <c:v>2</c:v>
                </c:pt>
              </c:numCache>
            </c:numRef>
          </c:val>
          <c:extLst>
            <c:ext xmlns:c16="http://schemas.microsoft.com/office/drawing/2014/chart" uri="{C3380CC4-5D6E-409C-BE32-E72D297353CC}">
              <c16:uniqueId val="{00000000-7312-4A40-ABD2-ED27A3F54B4C}"/>
            </c:ext>
          </c:extLst>
        </c:ser>
        <c:ser>
          <c:idx val="1"/>
          <c:order val="1"/>
          <c:tx>
            <c:strRef>
              <c:f>'Claim Type by Agent'!$D$3:$D$4</c:f>
              <c:strCache>
                <c:ptCount val="1"/>
                <c:pt idx="0">
                  <c:v>Hawkins</c:v>
                </c:pt>
              </c:strCache>
            </c:strRef>
          </c:tx>
          <c:spPr>
            <a:solidFill>
              <a:schemeClr val="accent2"/>
            </a:solidFill>
            <a:ln>
              <a:noFill/>
            </a:ln>
            <a:effectLst/>
          </c:spPr>
          <c:invertIfNegative val="0"/>
          <c:cat>
            <c:strRef>
              <c:f>'Claim Type by Agent'!$B$5:$B$10</c:f>
              <c:strCache>
                <c:ptCount val="5"/>
                <c:pt idx="0">
                  <c:v>Business liability</c:v>
                </c:pt>
                <c:pt idx="1">
                  <c:v>General</c:v>
                </c:pt>
                <c:pt idx="2">
                  <c:v>Homeowner</c:v>
                </c:pt>
                <c:pt idx="3">
                  <c:v>Life insurance</c:v>
                </c:pt>
                <c:pt idx="4">
                  <c:v>Property damage</c:v>
                </c:pt>
              </c:strCache>
            </c:strRef>
          </c:cat>
          <c:val>
            <c:numRef>
              <c:f>'Claim Type by Agent'!$D$5:$D$10</c:f>
              <c:numCache>
                <c:formatCode>General</c:formatCode>
                <c:ptCount val="5"/>
                <c:pt idx="0">
                  <c:v>1</c:v>
                </c:pt>
                <c:pt idx="1">
                  <c:v>2</c:v>
                </c:pt>
                <c:pt idx="2">
                  <c:v>3</c:v>
                </c:pt>
                <c:pt idx="3">
                  <c:v>2</c:v>
                </c:pt>
                <c:pt idx="4">
                  <c:v>1</c:v>
                </c:pt>
              </c:numCache>
            </c:numRef>
          </c:val>
          <c:extLst>
            <c:ext xmlns:c16="http://schemas.microsoft.com/office/drawing/2014/chart" uri="{C3380CC4-5D6E-409C-BE32-E72D297353CC}">
              <c16:uniqueId val="{00000008-7312-4A40-ABD2-ED27A3F54B4C}"/>
            </c:ext>
          </c:extLst>
        </c:ser>
        <c:ser>
          <c:idx val="2"/>
          <c:order val="2"/>
          <c:tx>
            <c:strRef>
              <c:f>'Claim Type by Agent'!$E$3:$E$4</c:f>
              <c:strCache>
                <c:ptCount val="1"/>
                <c:pt idx="0">
                  <c:v>Khouri</c:v>
                </c:pt>
              </c:strCache>
            </c:strRef>
          </c:tx>
          <c:spPr>
            <a:solidFill>
              <a:schemeClr val="accent2">
                <a:tint val="65000"/>
              </a:schemeClr>
            </a:solidFill>
            <a:ln>
              <a:noFill/>
            </a:ln>
            <a:effectLst/>
          </c:spPr>
          <c:invertIfNegative val="0"/>
          <c:cat>
            <c:strRef>
              <c:f>'Claim Type by Agent'!$B$5:$B$10</c:f>
              <c:strCache>
                <c:ptCount val="5"/>
                <c:pt idx="0">
                  <c:v>Business liability</c:v>
                </c:pt>
                <c:pt idx="1">
                  <c:v>General</c:v>
                </c:pt>
                <c:pt idx="2">
                  <c:v>Homeowner</c:v>
                </c:pt>
                <c:pt idx="3">
                  <c:v>Life insurance</c:v>
                </c:pt>
                <c:pt idx="4">
                  <c:v>Property damage</c:v>
                </c:pt>
              </c:strCache>
            </c:strRef>
          </c:cat>
          <c:val>
            <c:numRef>
              <c:f>'Claim Type by Agent'!$E$5:$E$10</c:f>
              <c:numCache>
                <c:formatCode>General</c:formatCode>
                <c:ptCount val="5"/>
                <c:pt idx="0">
                  <c:v>2</c:v>
                </c:pt>
                <c:pt idx="1">
                  <c:v>1</c:v>
                </c:pt>
                <c:pt idx="2">
                  <c:v>2</c:v>
                </c:pt>
                <c:pt idx="3">
                  <c:v>1</c:v>
                </c:pt>
                <c:pt idx="4">
                  <c:v>2</c:v>
                </c:pt>
              </c:numCache>
            </c:numRef>
          </c:val>
          <c:extLst>
            <c:ext xmlns:c16="http://schemas.microsoft.com/office/drawing/2014/chart" uri="{C3380CC4-5D6E-409C-BE32-E72D297353CC}">
              <c16:uniqueId val="{00000009-7312-4A40-ABD2-ED27A3F54B4C}"/>
            </c:ext>
          </c:extLst>
        </c:ser>
        <c:dLbls>
          <c:showLegendKey val="0"/>
          <c:showVal val="0"/>
          <c:showCatName val="0"/>
          <c:showSerName val="0"/>
          <c:showPercent val="0"/>
          <c:showBubbleSize val="0"/>
        </c:dLbls>
        <c:gapWidth val="219"/>
        <c:overlap val="-27"/>
        <c:axId val="1626945087"/>
        <c:axId val="1626938815"/>
      </c:barChart>
      <c:catAx>
        <c:axId val="162694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38815"/>
        <c:crosses val="autoZero"/>
        <c:auto val="1"/>
        <c:lblAlgn val="ctr"/>
        <c:lblOffset val="100"/>
        <c:noMultiLvlLbl val="0"/>
      </c:catAx>
      <c:valAx>
        <c:axId val="162693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1</xdr:row>
      <xdr:rowOff>30481</xdr:rowOff>
    </xdr:to>
    <xdr:pic>
      <xdr:nvPicPr>
        <xdr:cNvPr id="2" name="Picture 1">
          <a:extLst>
            <a:ext uri="{FF2B5EF4-FFF2-40B4-BE49-F238E27FC236}">
              <a16:creationId xmlns:a16="http://schemas.microsoft.com/office/drawing/2014/main" id="{9A2378F5-1618-493D-8DE7-020C8CD6F2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7877175" cy="563881"/>
        </a:xfrm>
        <a:prstGeom prst="rect">
          <a:avLst/>
        </a:prstGeom>
      </xdr:spPr>
    </xdr:pic>
    <xdr:clientData/>
  </xdr:twoCellAnchor>
  <xdr:twoCellAnchor>
    <xdr:from>
      <xdr:col>0</xdr:col>
      <xdr:colOff>62107</xdr:colOff>
      <xdr:row>0</xdr:row>
      <xdr:rowOff>0</xdr:rowOff>
    </xdr:from>
    <xdr:to>
      <xdr:col>1</xdr:col>
      <xdr:colOff>6167939</xdr:colOff>
      <xdr:row>0</xdr:row>
      <xdr:rowOff>388620</xdr:rowOff>
    </xdr:to>
    <xdr:sp macro="" textlink="">
      <xdr:nvSpPr>
        <xdr:cNvPr id="3" name="ProjectName">
          <a:extLst>
            <a:ext uri="{FF2B5EF4-FFF2-40B4-BE49-F238E27FC236}">
              <a16:creationId xmlns:a16="http://schemas.microsoft.com/office/drawing/2014/main" id="{1F7AE793-8CBE-443B-BAD6-991C1353C435}"/>
            </a:ext>
          </a:extLst>
        </xdr:cNvPr>
        <xdr:cNvSpPr/>
      </xdr:nvSpPr>
      <xdr:spPr>
        <a:xfrm>
          <a:off x="62107" y="0"/>
          <a:ext cx="6686857" cy="388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000" b="0">
              <a:solidFill>
                <a:srgbClr val="292F7C"/>
              </a:solidFill>
              <a:latin typeface="Century Gothic" panose="020B0502020202020204" pitchFamily="34" charset="0"/>
            </a:rPr>
            <a:t>New Perspectives Excel 365 | Module 7: SAM Project A</a:t>
          </a:r>
          <a:endParaRPr lang="en-US" sz="1000">
            <a:solidFill>
              <a:srgbClr val="292F7C"/>
            </a:solidFill>
            <a:latin typeface="Century Gothic" panose="020B0502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0</xdr:row>
      <xdr:rowOff>0</xdr:rowOff>
    </xdr:from>
    <xdr:to>
      <xdr:col>2</xdr:col>
      <xdr:colOff>721931</xdr:colOff>
      <xdr:row>1</xdr:row>
      <xdr:rowOff>19050</xdr:rowOff>
    </xdr:to>
    <xdr:pic>
      <xdr:nvPicPr>
        <xdr:cNvPr id="3" name="Picture 2">
          <a:extLst>
            <a:ext uri="{FF2B5EF4-FFF2-40B4-BE49-F238E27FC236}">
              <a16:creationId xmlns:a16="http://schemas.microsoft.com/office/drawing/2014/main" id="{020F1A02-72D8-A9C1-A501-81DDAF5B2A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1826830" cy="685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2</xdr:row>
      <xdr:rowOff>8466</xdr:rowOff>
    </xdr:from>
    <xdr:to>
      <xdr:col>14</xdr:col>
      <xdr:colOff>668866</xdr:colOff>
      <xdr:row>22</xdr:row>
      <xdr:rowOff>177800</xdr:rowOff>
    </xdr:to>
    <xdr:graphicFrame macro="">
      <xdr:nvGraphicFramePr>
        <xdr:cNvPr id="5" name="Chart 4">
          <a:extLst>
            <a:ext uri="{FF2B5EF4-FFF2-40B4-BE49-F238E27FC236}">
              <a16:creationId xmlns:a16="http://schemas.microsoft.com/office/drawing/2014/main" id="{30902655-1EC8-77D5-DCFE-6B1F814B5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25400</xdr:colOff>
      <xdr:row>2</xdr:row>
      <xdr:rowOff>38100</xdr:rowOff>
    </xdr:from>
    <xdr:to>
      <xdr:col>8</xdr:col>
      <xdr:colOff>38100</xdr:colOff>
      <xdr:row>11</xdr:row>
      <xdr:rowOff>63500</xdr:rowOff>
    </xdr:to>
    <mc:AlternateContent xmlns:mc="http://schemas.openxmlformats.org/markup-compatibility/2006">
      <mc:Choice xmlns:a14="http://schemas.microsoft.com/office/drawing/2010/main" Requires="a14">
        <xdr:graphicFrame macro="">
          <xdr:nvGraphicFramePr>
            <xdr:cNvPr id="2" name="Claim Type">
              <a:extLst>
                <a:ext uri="{FF2B5EF4-FFF2-40B4-BE49-F238E27FC236}">
                  <a16:creationId xmlns:a16="http://schemas.microsoft.com/office/drawing/2014/main" id="{F05C2C3E-77A1-B755-10E9-C4D0CF97450C}"/>
                </a:ext>
              </a:extLst>
            </xdr:cNvPr>
            <xdr:cNvGraphicFramePr/>
          </xdr:nvGraphicFramePr>
          <xdr:xfrm>
            <a:off x="0" y="0"/>
            <a:ext cx="0" cy="0"/>
          </xdr:xfrm>
          <a:graphic>
            <a:graphicData uri="http://schemas.microsoft.com/office/drawing/2010/slicer">
              <sle:slicer xmlns:sle="http://schemas.microsoft.com/office/drawing/2010/slicer" name="Claim Type"/>
            </a:graphicData>
          </a:graphic>
        </xdr:graphicFrame>
      </mc:Choice>
      <mc:Fallback>
        <xdr:sp macro="" textlink="">
          <xdr:nvSpPr>
            <xdr:cNvPr id="0" name=""/>
            <xdr:cNvSpPr>
              <a:spLocks noTextEdit="1"/>
            </xdr:cNvSpPr>
          </xdr:nvSpPr>
          <xdr:spPr>
            <a:xfrm>
              <a:off x="4851400" y="419100"/>
              <a:ext cx="2349500" cy="173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12</xdr:row>
      <xdr:rowOff>0</xdr:rowOff>
    </xdr:from>
    <xdr:to>
      <xdr:col>7</xdr:col>
      <xdr:colOff>800100</xdr:colOff>
      <xdr:row>19</xdr:row>
      <xdr:rowOff>25400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7B81E1E6-453D-A33F-E83B-7042C4AE242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79400" y="2286000"/>
              <a:ext cx="6515100" cy="1358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693355</xdr:colOff>
      <xdr:row>1</xdr:row>
      <xdr:rowOff>28575</xdr:rowOff>
    </xdr:to>
    <xdr:pic>
      <xdr:nvPicPr>
        <xdr:cNvPr id="2" name="Picture 1">
          <a:extLst>
            <a:ext uri="{FF2B5EF4-FFF2-40B4-BE49-F238E27FC236}">
              <a16:creationId xmlns:a16="http://schemas.microsoft.com/office/drawing/2014/main" id="{FF26DA03-A661-408C-A26F-8A498053A0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26830" cy="685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ter Botros" refreshedDate="46083.58639571759" createdVersion="8" refreshedVersion="8" minRefreshableVersion="3" recordCount="45" xr:uid="{3E6AF7B5-7C8F-9C4F-A74D-E7A1A18563C3}">
  <cacheSource type="worksheet">
    <worksheetSource name="Claims"/>
  </cacheSource>
  <cacheFields count="15">
    <cacheField name="Claim ID" numFmtId="0">
      <sharedItems containsSemiMixedTypes="0" containsString="0" containsNumber="1" containsInteger="1" minValue="29205" maxValue="34251"/>
    </cacheField>
    <cacheField name="Date" numFmtId="14">
      <sharedItems containsSemiMixedTypes="0" containsNonDate="0" containsDate="1" containsString="0" minDate="2029-03-04T00:00:00" maxDate="2029-05-30T00:00:00" count="38">
        <d v="2029-03-04T00:00:00"/>
        <d v="2029-03-05T00:00:00"/>
        <d v="2029-03-07T00:00:00"/>
        <d v="2029-03-08T00:00:00"/>
        <d v="2029-03-09T00:00:00"/>
        <d v="2029-03-12T00:00:00"/>
        <d v="2029-03-13T00:00:00"/>
        <d v="2029-03-15T00:00:00"/>
        <d v="2029-03-16T00:00:00"/>
        <d v="2029-03-18T00:00:00"/>
        <d v="2029-03-20T00:00:00"/>
        <d v="2029-03-23T00:00:00"/>
        <d v="2029-03-25T00:00:00"/>
        <d v="2029-03-26T00:00:00"/>
        <d v="2029-03-27T00:00:00"/>
        <d v="2029-03-28T00:00:00"/>
        <d v="2029-03-29T00:00:00"/>
        <d v="2029-04-05T00:00:00"/>
        <d v="2029-04-06T00:00:00"/>
        <d v="2029-04-07T00:00:00"/>
        <d v="2029-04-09T00:00:00"/>
        <d v="2029-04-10T00:00:00"/>
        <d v="2029-04-16T00:00:00"/>
        <d v="2029-04-17T00:00:00"/>
        <d v="2029-04-20T00:00:00"/>
        <d v="2029-04-22T00:00:00"/>
        <d v="2029-04-23T00:00:00"/>
        <d v="2029-04-24T00:00:00"/>
        <d v="2029-04-30T00:00:00"/>
        <d v="2029-05-06T00:00:00"/>
        <d v="2029-05-12T00:00:00"/>
        <d v="2029-05-14T00:00:00"/>
        <d v="2029-05-16T00:00:00"/>
        <d v="2029-05-18T00:00:00"/>
        <d v="2029-05-20T00:00:00"/>
        <d v="2029-05-22T00:00:00"/>
        <d v="2029-05-28T00:00:00"/>
        <d v="2029-05-29T00:00:00"/>
      </sharedItems>
      <fieldGroup par="14"/>
    </cacheField>
    <cacheField name="Prefix" numFmtId="0">
      <sharedItems containsSemiMixedTypes="0" containsString="0" containsNumber="1" containsInteger="1" minValue="102" maxValue="512"/>
    </cacheField>
    <cacheField name="ID" numFmtId="0">
      <sharedItems containsSemiMixedTypes="0" containsString="0" containsNumber="1" containsInteger="1" minValue="1011" maxValue="9215"/>
    </cacheField>
    <cacheField name="Policy Type" numFmtId="0">
      <sharedItems count="5">
        <s v="Auto"/>
        <s v="Home"/>
        <s v="Renters"/>
        <s v="Rec Vehicle"/>
        <s v="Life"/>
      </sharedItems>
    </cacheField>
    <cacheField name="Agent" numFmtId="0">
      <sharedItems count="7">
        <s v="Fernandez"/>
        <s v="Hawkins"/>
        <s v="Khouri"/>
        <s v="Wan"/>
        <s v="Ramos"/>
        <s v="Laramie"/>
        <s v="Pfeffer"/>
      </sharedItems>
    </cacheField>
    <cacheField name="Claim Code" numFmtId="0">
      <sharedItems containsSemiMixedTypes="0" containsString="0" containsNumber="1" containsInteger="1" minValue="2" maxValue="54"/>
    </cacheField>
    <cacheField name="Claim Type" numFmtId="0">
      <sharedItems count="5">
        <s v="Business liability"/>
        <s v="General"/>
        <s v="Homeowner"/>
        <s v="Life insurance"/>
        <s v="Property damage"/>
      </sharedItems>
    </cacheField>
    <cacheField name="Coverage" numFmtId="1">
      <sharedItems containsSemiMixedTypes="0" containsString="0" containsNumber="1" containsInteger="1" minValue="2" maxValue="7"/>
    </cacheField>
    <cacheField name="Value" numFmtId="1">
      <sharedItems containsSemiMixedTypes="0" containsString="0" containsNumber="1" containsInteger="1" minValue="2" maxValue="7"/>
    </cacheField>
    <cacheField name="Service" numFmtId="1">
      <sharedItems containsSemiMixedTypes="0" containsString="0" containsNumber="1" containsInteger="1" minValue="3" maxValue="7"/>
    </cacheField>
    <cacheField name="Average" numFmtId="164">
      <sharedItems containsSemiMixedTypes="0" containsString="0" containsNumber="1" minValue="2.6666666666666665" maxValue="7"/>
    </cacheField>
    <cacheField name="Follow Up" numFmtId="0">
      <sharedItems/>
    </cacheField>
    <cacheField name="Days (Date)" numFmtId="0" databaseField="0">
      <fieldGroup base="1">
        <rangePr groupBy="days" startDate="2029-03-04T00:00:00" endDate="2029-05-30T00:00:00"/>
        <groupItems count="368">
          <s v="&lt;3/4/2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30/29"/>
        </groupItems>
      </fieldGroup>
    </cacheField>
    <cacheField name="Months (Date)" numFmtId="0" databaseField="0">
      <fieldGroup base="1">
        <rangePr groupBy="months" startDate="2029-03-04T00:00:00" endDate="2029-05-30T00:00:00"/>
        <groupItems count="14">
          <s v="&lt;3/4/29"/>
          <s v="Jan"/>
          <s v="Feb"/>
          <s v="Mar"/>
          <s v="Apr"/>
          <s v="May"/>
          <s v="Jun"/>
          <s v="Jul"/>
          <s v="Aug"/>
          <s v="Sep"/>
          <s v="Oct"/>
          <s v="Nov"/>
          <s v="Dec"/>
          <s v="&gt;5/30/29"/>
        </groupItems>
      </fieldGroup>
    </cacheField>
  </cacheFields>
  <extLst>
    <ext xmlns:x14="http://schemas.microsoft.com/office/spreadsheetml/2009/9/main" uri="{725AE2AE-9491-48be-B2B4-4EB974FC3084}">
      <x14:pivotCacheDefinition pivotCacheId="584527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n v="29205"/>
    <x v="0"/>
    <n v="102"/>
    <n v="1911"/>
    <x v="0"/>
    <x v="0"/>
    <n v="2"/>
    <x v="0"/>
    <n v="6"/>
    <n v="6"/>
    <n v="5"/>
    <n v="5.666666666666667"/>
    <s v=""/>
  </r>
  <r>
    <n v="29206"/>
    <x v="0"/>
    <n v="225"/>
    <n v="1541"/>
    <x v="1"/>
    <x v="1"/>
    <n v="12"/>
    <x v="1"/>
    <n v="5"/>
    <n v="5"/>
    <n v="7"/>
    <n v="5.666666666666667"/>
    <s v=""/>
  </r>
  <r>
    <n v="29207"/>
    <x v="0"/>
    <n v="126"/>
    <n v="1170"/>
    <x v="0"/>
    <x v="2"/>
    <n v="15"/>
    <x v="1"/>
    <n v="3"/>
    <n v="2"/>
    <n v="4"/>
    <n v="3"/>
    <s v="3 days"/>
  </r>
  <r>
    <n v="29208"/>
    <x v="1"/>
    <n v="237"/>
    <n v="1145"/>
    <x v="1"/>
    <x v="0"/>
    <n v="8"/>
    <x v="0"/>
    <n v="5"/>
    <n v="5"/>
    <n v="7"/>
    <n v="5.666666666666667"/>
    <s v=""/>
  </r>
  <r>
    <n v="30213"/>
    <x v="2"/>
    <n v="304"/>
    <n v="2103"/>
    <x v="2"/>
    <x v="3"/>
    <n v="16"/>
    <x v="1"/>
    <n v="4"/>
    <n v="4"/>
    <n v="5"/>
    <n v="4.333333333333333"/>
    <s v="1 week"/>
  </r>
  <r>
    <n v="30214"/>
    <x v="3"/>
    <n v="186"/>
    <n v="2246"/>
    <x v="0"/>
    <x v="2"/>
    <n v="18"/>
    <x v="2"/>
    <n v="3"/>
    <n v="4"/>
    <n v="5"/>
    <n v="4"/>
    <s v=""/>
  </r>
  <r>
    <n v="30215"/>
    <x v="4"/>
    <n v="119"/>
    <n v="2137"/>
    <x v="0"/>
    <x v="1"/>
    <n v="24"/>
    <x v="2"/>
    <n v="6"/>
    <n v="5"/>
    <n v="5"/>
    <n v="5.333333333333333"/>
    <s v=""/>
  </r>
  <r>
    <n v="31219"/>
    <x v="5"/>
    <n v="276"/>
    <n v="2234"/>
    <x v="1"/>
    <x v="4"/>
    <n v="31"/>
    <x v="3"/>
    <n v="7"/>
    <n v="7"/>
    <n v="7"/>
    <n v="7"/>
    <s v=""/>
  </r>
  <r>
    <n v="31220"/>
    <x v="6"/>
    <n v="510"/>
    <n v="3228"/>
    <x v="3"/>
    <x v="3"/>
    <n v="45"/>
    <x v="4"/>
    <n v="5"/>
    <n v="5"/>
    <n v="6"/>
    <n v="5.333333333333333"/>
    <s v=""/>
  </r>
  <r>
    <n v="31222"/>
    <x v="7"/>
    <n v="402"/>
    <n v="3215"/>
    <x v="4"/>
    <x v="2"/>
    <n v="4"/>
    <x v="0"/>
    <n v="4"/>
    <n v="5"/>
    <n v="5"/>
    <n v="4.666666666666667"/>
    <s v=""/>
  </r>
  <r>
    <n v="31224"/>
    <x v="8"/>
    <n v="336"/>
    <n v="4117"/>
    <x v="2"/>
    <x v="5"/>
    <n v="50"/>
    <x v="4"/>
    <n v="2"/>
    <n v="3"/>
    <n v="3"/>
    <n v="2.6666666666666665"/>
    <s v="1 week"/>
  </r>
  <r>
    <n v="32225"/>
    <x v="8"/>
    <n v="184"/>
    <n v="4140"/>
    <x v="0"/>
    <x v="5"/>
    <n v="22"/>
    <x v="2"/>
    <n v="6"/>
    <n v="5"/>
    <n v="7"/>
    <n v="6"/>
    <s v=""/>
  </r>
  <r>
    <n v="32321"/>
    <x v="9"/>
    <n v="190"/>
    <n v="5224"/>
    <x v="0"/>
    <x v="0"/>
    <n v="11"/>
    <x v="0"/>
    <n v="3"/>
    <n v="2"/>
    <n v="4"/>
    <n v="3"/>
    <s v="3 days"/>
  </r>
  <r>
    <n v="33334"/>
    <x v="10"/>
    <n v="345"/>
    <n v="3126"/>
    <x v="2"/>
    <x v="6"/>
    <n v="23"/>
    <x v="2"/>
    <n v="5"/>
    <n v="4"/>
    <n v="6"/>
    <n v="5"/>
    <s v="1 week"/>
  </r>
  <r>
    <n v="33337"/>
    <x v="11"/>
    <n v="220"/>
    <n v="5210"/>
    <x v="1"/>
    <x v="0"/>
    <n v="18"/>
    <x v="2"/>
    <n v="5"/>
    <n v="4"/>
    <n v="5"/>
    <n v="4.666666666666667"/>
    <s v=""/>
  </r>
  <r>
    <n v="33240"/>
    <x v="11"/>
    <n v="153"/>
    <n v="2189"/>
    <x v="0"/>
    <x v="3"/>
    <n v="5"/>
    <x v="0"/>
    <n v="4"/>
    <n v="5"/>
    <n v="5"/>
    <n v="4.666666666666667"/>
    <s v=""/>
  </r>
  <r>
    <n v="33243"/>
    <x v="12"/>
    <n v="159"/>
    <n v="3126"/>
    <x v="0"/>
    <x v="4"/>
    <n v="34"/>
    <x v="3"/>
    <n v="6"/>
    <n v="5"/>
    <n v="6"/>
    <n v="5.666666666666667"/>
    <s v=""/>
  </r>
  <r>
    <n v="33244"/>
    <x v="13"/>
    <n v="204"/>
    <n v="6157"/>
    <x v="1"/>
    <x v="2"/>
    <n v="41"/>
    <x v="4"/>
    <n v="6"/>
    <n v="5"/>
    <n v="7"/>
    <n v="6"/>
    <s v=""/>
  </r>
  <r>
    <n v="34245"/>
    <x v="14"/>
    <n v="221"/>
    <n v="5201"/>
    <x v="1"/>
    <x v="1"/>
    <n v="33"/>
    <x v="3"/>
    <n v="4"/>
    <n v="5"/>
    <n v="4"/>
    <n v="4.333333333333333"/>
    <s v=""/>
  </r>
  <r>
    <n v="34247"/>
    <x v="15"/>
    <n v="342"/>
    <n v="6149"/>
    <x v="2"/>
    <x v="4"/>
    <n v="4"/>
    <x v="0"/>
    <n v="6"/>
    <n v="6"/>
    <n v="5"/>
    <n v="5.666666666666667"/>
    <s v="1 week"/>
  </r>
  <r>
    <n v="34249"/>
    <x v="16"/>
    <n v="102"/>
    <n v="3223"/>
    <x v="0"/>
    <x v="0"/>
    <n v="13"/>
    <x v="1"/>
    <n v="5"/>
    <n v="4"/>
    <n v="4"/>
    <n v="4.333333333333333"/>
    <s v=""/>
  </r>
  <r>
    <n v="34250"/>
    <x v="16"/>
    <n v="153"/>
    <n v="4241"/>
    <x v="0"/>
    <x v="6"/>
    <n v="37"/>
    <x v="3"/>
    <n v="4"/>
    <n v="3"/>
    <n v="6"/>
    <n v="4.333333333333333"/>
    <s v=""/>
  </r>
  <r>
    <n v="29209"/>
    <x v="17"/>
    <n v="190"/>
    <n v="4152"/>
    <x v="0"/>
    <x v="3"/>
    <n v="50"/>
    <x v="4"/>
    <n v="5"/>
    <n v="5"/>
    <n v="7"/>
    <n v="5.666666666666667"/>
    <s v=""/>
  </r>
  <r>
    <n v="29210"/>
    <x v="18"/>
    <n v="204"/>
    <n v="4196"/>
    <x v="1"/>
    <x v="1"/>
    <n v="14"/>
    <x v="1"/>
    <n v="6"/>
    <n v="6"/>
    <n v="5"/>
    <n v="5.666666666666667"/>
    <s v=""/>
  </r>
  <r>
    <n v="30212"/>
    <x v="19"/>
    <n v="345"/>
    <n v="6242"/>
    <x v="2"/>
    <x v="1"/>
    <n v="54"/>
    <x v="4"/>
    <n v="5"/>
    <n v="6"/>
    <n v="6"/>
    <n v="5.666666666666667"/>
    <s v="1 week"/>
  </r>
  <r>
    <n v="30216"/>
    <x v="20"/>
    <n v="276"/>
    <n v="7143"/>
    <x v="1"/>
    <x v="0"/>
    <n v="6"/>
    <x v="0"/>
    <n v="6"/>
    <n v="5"/>
    <n v="7"/>
    <n v="6"/>
    <s v=""/>
  </r>
  <r>
    <n v="30217"/>
    <x v="21"/>
    <n v="186"/>
    <n v="1557"/>
    <x v="0"/>
    <x v="2"/>
    <n v="35"/>
    <x v="3"/>
    <n v="3"/>
    <n v="2"/>
    <n v="4"/>
    <n v="3"/>
    <s v="3 days"/>
  </r>
  <r>
    <n v="31231"/>
    <x v="22"/>
    <n v="199"/>
    <n v="1171"/>
    <x v="0"/>
    <x v="5"/>
    <n v="53"/>
    <x v="4"/>
    <n v="5"/>
    <n v="4"/>
    <n v="6"/>
    <n v="5"/>
    <s v=""/>
  </r>
  <r>
    <n v="32227"/>
    <x v="23"/>
    <n v="220"/>
    <n v="2227"/>
    <x v="1"/>
    <x v="6"/>
    <n v="22"/>
    <x v="2"/>
    <n v="5"/>
    <n v="4"/>
    <n v="5"/>
    <n v="4.666666666666667"/>
    <s v=""/>
  </r>
  <r>
    <n v="32228"/>
    <x v="23"/>
    <n v="276"/>
    <n v="4177"/>
    <x v="1"/>
    <x v="1"/>
    <n v="26"/>
    <x v="2"/>
    <n v="4"/>
    <n v="5"/>
    <n v="5"/>
    <n v="4.666666666666667"/>
    <s v=""/>
  </r>
  <r>
    <n v="33335"/>
    <x v="24"/>
    <n v="190"/>
    <n v="7196"/>
    <x v="0"/>
    <x v="1"/>
    <n v="9"/>
    <x v="0"/>
    <n v="5"/>
    <n v="5"/>
    <n v="6"/>
    <n v="5.333333333333333"/>
    <s v=""/>
  </r>
  <r>
    <n v="33338"/>
    <x v="25"/>
    <n v="225"/>
    <n v="2213"/>
    <x v="1"/>
    <x v="2"/>
    <n v="25"/>
    <x v="2"/>
    <n v="4"/>
    <n v="5"/>
    <n v="5"/>
    <n v="4.666666666666667"/>
    <s v=""/>
  </r>
  <r>
    <n v="33241"/>
    <x v="26"/>
    <n v="512"/>
    <n v="5200"/>
    <x v="3"/>
    <x v="4"/>
    <n v="42"/>
    <x v="4"/>
    <n v="2"/>
    <n v="3"/>
    <n v="3"/>
    <n v="2.6666666666666665"/>
    <s v="3 days"/>
  </r>
  <r>
    <n v="33242"/>
    <x v="27"/>
    <n v="159"/>
    <n v="8144"/>
    <x v="0"/>
    <x v="3"/>
    <n v="33"/>
    <x v="3"/>
    <n v="6"/>
    <n v="5"/>
    <n v="7"/>
    <n v="6"/>
    <s v=""/>
  </r>
  <r>
    <n v="34251"/>
    <x v="28"/>
    <n v="160"/>
    <n v="8147"/>
    <x v="0"/>
    <x v="0"/>
    <n v="25"/>
    <x v="2"/>
    <n v="3"/>
    <n v="2"/>
    <n v="4"/>
    <n v="3"/>
    <s v="3 days"/>
  </r>
  <r>
    <n v="29211"/>
    <x v="29"/>
    <n v="304"/>
    <n v="9215"/>
    <x v="2"/>
    <x v="4"/>
    <n v="27"/>
    <x v="2"/>
    <n v="7"/>
    <n v="7"/>
    <n v="7"/>
    <n v="7"/>
    <s v="1 week"/>
  </r>
  <r>
    <n v="31218"/>
    <x v="30"/>
    <n v="441"/>
    <n v="6128"/>
    <x v="4"/>
    <x v="1"/>
    <n v="30"/>
    <x v="2"/>
    <n v="5"/>
    <n v="5"/>
    <n v="6"/>
    <n v="5.333333333333333"/>
    <s v=""/>
  </r>
  <r>
    <n v="31221"/>
    <x v="31"/>
    <n v="145"/>
    <n v="9136"/>
    <x v="0"/>
    <x v="2"/>
    <n v="42"/>
    <x v="4"/>
    <n v="4"/>
    <n v="5"/>
    <n v="5"/>
    <n v="4.666666666666667"/>
    <s v=""/>
  </r>
  <r>
    <n v="32226"/>
    <x v="32"/>
    <n v="153"/>
    <n v="9182"/>
    <x v="0"/>
    <x v="2"/>
    <n v="6"/>
    <x v="0"/>
    <n v="2"/>
    <n v="3"/>
    <n v="3"/>
    <n v="2.6666666666666665"/>
    <s v="3 days"/>
  </r>
  <r>
    <n v="32322"/>
    <x v="33"/>
    <n v="224"/>
    <n v="4126"/>
    <x v="1"/>
    <x v="3"/>
    <n v="9"/>
    <x v="0"/>
    <n v="6"/>
    <n v="5"/>
    <n v="7"/>
    <n v="6"/>
    <s v=""/>
  </r>
  <r>
    <n v="32323"/>
    <x v="33"/>
    <n v="345"/>
    <n v="7147"/>
    <x v="2"/>
    <x v="4"/>
    <n v="19"/>
    <x v="2"/>
    <n v="3"/>
    <n v="2"/>
    <n v="4"/>
    <n v="3"/>
    <s v="1 week"/>
  </r>
  <r>
    <n v="33336"/>
    <x v="34"/>
    <n v="502"/>
    <n v="8117"/>
    <x v="3"/>
    <x v="5"/>
    <n v="20"/>
    <x v="2"/>
    <n v="5"/>
    <n v="4"/>
    <n v="6"/>
    <n v="5"/>
    <s v=""/>
  </r>
  <r>
    <n v="33339"/>
    <x v="35"/>
    <n v="401"/>
    <n v="1178"/>
    <x v="4"/>
    <x v="4"/>
    <n v="13"/>
    <x v="1"/>
    <n v="4"/>
    <n v="5"/>
    <n v="4"/>
    <n v="4.333333333333333"/>
    <s v=""/>
  </r>
  <r>
    <n v="34246"/>
    <x v="36"/>
    <n v="184"/>
    <n v="6242"/>
    <x v="0"/>
    <x v="0"/>
    <n v="6"/>
    <x v="0"/>
    <n v="7"/>
    <n v="7"/>
    <n v="7"/>
    <n v="7"/>
    <s v=""/>
  </r>
  <r>
    <n v="34248"/>
    <x v="37"/>
    <n v="276"/>
    <n v="1011"/>
    <x v="1"/>
    <x v="1"/>
    <n v="40"/>
    <x v="3"/>
    <n v="5"/>
    <n v="5"/>
    <n v="6"/>
    <n v="5.333333333333333"/>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FFD28A-0288-B146-B37E-9DDC3B79FDB4}" name="AgentClaims "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laim Types" colHeaderCaption="Agents">
  <location ref="B3:F10" firstHeaderRow="1" firstDataRow="2" firstDataCol="1"/>
  <pivotFields count="15">
    <pivotField showAll="0"/>
    <pivotField numFmtId="1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pivotField axis="axisRow" dataField="1" showAll="0">
      <items count="6">
        <item x="0"/>
        <item x="1"/>
        <item x="4"/>
        <item x="3"/>
        <item x="2"/>
        <item t="default"/>
      </items>
    </pivotField>
    <pivotField axis="axisCol" showAll="0">
      <items count="8">
        <item x="0"/>
        <item x="1"/>
        <item x="2"/>
        <item h="1" x="5"/>
        <item h="1" x="6"/>
        <item h="1" x="4"/>
        <item h="1" x="3"/>
        <item t="default"/>
      </items>
    </pivotField>
    <pivotField showAll="0"/>
    <pivotField axis="axisRow" showAll="0">
      <items count="6">
        <item sd="0" x="0"/>
        <item sd="0" x="1"/>
        <item sd="0" x="2"/>
        <item sd="0" x="3"/>
        <item sd="0" x="4"/>
        <item t="default"/>
      </items>
    </pivotField>
    <pivotField numFmtId="1" showAll="0"/>
    <pivotField numFmtId="1" showAll="0"/>
    <pivotField numFmtId="1"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7"/>
    <field x="4"/>
  </rowFields>
  <rowItems count="6">
    <i>
      <x/>
    </i>
    <i>
      <x v="1"/>
    </i>
    <i>
      <x v="2"/>
    </i>
    <i>
      <x v="3"/>
    </i>
    <i>
      <x v="4"/>
    </i>
    <i t="grand">
      <x/>
    </i>
  </rowItems>
  <colFields count="1">
    <field x="5"/>
  </colFields>
  <colItems count="4">
    <i>
      <x/>
    </i>
    <i>
      <x v="1"/>
    </i>
    <i>
      <x v="2"/>
    </i>
    <i t="grand">
      <x/>
    </i>
  </colItems>
  <dataFields count="1">
    <dataField name="Count of Policy Type" fld="4" subtotal="count" baseField="0" baseItem="0"/>
  </dataFields>
  <formats count="2">
    <format dxfId="40">
      <pivotArea outline="0" collapsedLevelsAreSubtotals="1" fieldPosition="0"/>
    </format>
    <format dxfId="37">
      <pivotArea outline="0" collapsedLevelsAreSubtotals="1" fieldPosition="0"/>
    </format>
  </formats>
  <chartFormats count="16">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 chart="1" format="6" series="1">
      <pivotArea type="data" outline="0" fieldPosition="0">
        <references count="2">
          <reference field="4294967294" count="1" selected="0">
            <x v="0"/>
          </reference>
          <reference field="5" count="1" selected="0">
            <x v="6"/>
          </reference>
        </references>
      </pivotArea>
    </chartFormat>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2" format="3" series="1">
      <pivotArea type="data" outline="0" fieldPosition="0">
        <references count="2">
          <reference field="4294967294" count="1" selected="0">
            <x v="0"/>
          </reference>
          <reference field="5" count="1" selected="0">
            <x v="3"/>
          </reference>
        </references>
      </pivotArea>
    </chartFormat>
    <chartFormat chart="2" format="4" series="1">
      <pivotArea type="data" outline="0" fieldPosition="0">
        <references count="2">
          <reference field="4294967294" count="1" selected="0">
            <x v="0"/>
          </reference>
          <reference field="5" count="1" selected="0">
            <x v="4"/>
          </reference>
        </references>
      </pivotArea>
    </chartFormat>
    <chartFormat chart="2" format="5" series="1">
      <pivotArea type="data" outline="0" fieldPosition="0">
        <references count="2">
          <reference field="4294967294" count="1" selected="0">
            <x v="0"/>
          </reference>
          <reference field="5" count="1" selected="0">
            <x v="5"/>
          </reference>
        </references>
      </pivotArea>
    </chartFormat>
    <chartFormat chart="2" format="6" series="1">
      <pivotArea type="data" outline="0" fieldPosition="0">
        <references count="2">
          <reference field="4294967294" count="1" selected="0">
            <x v="0"/>
          </reference>
          <reference field="5" count="1" selected="0">
            <x v="6"/>
          </reference>
        </references>
      </pivotArea>
    </chartFormat>
    <chartFormat chart="2" format="7"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DA35C9-93E5-4249-ACAF-26F05E4B2F5F}" name="Monthly Ratings"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D8" firstHeaderRow="1" firstDataRow="4" firstDataCol="1"/>
  <pivotFields count="15">
    <pivotField showAll="0"/>
    <pivotField axis="axisCol" numFmtId="1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pivotField showAll="0"/>
    <pivotField showAll="0"/>
    <pivotField showAll="0"/>
    <pivotField axis="axisRow" showAll="0">
      <items count="6">
        <item h="1" x="0"/>
        <item h="1" x="1"/>
        <item x="2"/>
        <item h="1" x="3"/>
        <item h="1" x="4"/>
        <item t="default"/>
      </items>
    </pivotField>
    <pivotField numFmtId="1" showAll="0"/>
    <pivotField numFmtId="1" showAll="0"/>
    <pivotField numFmtId="1" showAll="0"/>
    <pivotField dataField="1" numFmtId="164"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2">
    <i>
      <x v="2"/>
    </i>
    <i t="grand">
      <x/>
    </i>
  </rowItems>
  <colFields count="3">
    <field x="14"/>
    <field x="13"/>
    <field x="1"/>
  </colFields>
  <colItems count="2">
    <i>
      <x v="4"/>
    </i>
    <i t="grand">
      <x/>
    </i>
  </colItems>
  <dataFields count="1">
    <dataField name="Average of Average" fld="11" subtotal="average" baseField="0" baseItem="0" numFmtId="164"/>
  </dataFields>
  <pivotTableStyleInfo name="PivotStyleLight17" showRowHeaders="1" showColHeaders="1" showRowStripes="0" showColStripes="0" showLastColumn="1"/>
  <filters count="1">
    <filter fld="1" type="dateBetween" evalOrder="-1" id="14" name="Date">
      <autoFilter ref="A1">
        <filterColumn colId="0">
          <customFilters and="1">
            <customFilter operator="greaterThanOrEqual" val="47209"/>
            <customFilter operator="lessThanOrEqual" val="472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Type" xr10:uid="{2D1B1710-224D-F540-B703-4099C124E2E5}" sourceName="Claim Type">
  <pivotTables>
    <pivotTable tabId="4" name="Monthly Ratings"/>
  </pivotTables>
  <data>
    <tabular pivotCacheId="584527695">
      <items count="5">
        <i x="0"/>
        <i x="1"/>
        <i x="2" s="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im Type" xr10:uid="{7FA1B3D2-E673-124D-B877-29DC50776B62}" cache="Slicer_Claim_Type" caption="Claim Type" style="SlicerStyleLight2" rowHeight="1883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5B8257-9F8E-4092-BD21-2108E8284388}" name="Claims" displayName="Claims" ref="B5:N50" totalsRowShown="0" headerRowDxfId="55" dataDxfId="54">
  <autoFilter ref="B5:N50" xr:uid="{B15B8257-9F8E-4092-BD21-2108E8284388}"/>
  <tableColumns count="13">
    <tableColumn id="1" xr3:uid="{2A6C368E-EDBA-404A-9C9C-4FD8A6BBCFC7}" name="Claim ID" dataDxfId="53"/>
    <tableColumn id="2" xr3:uid="{EAEFC920-E26E-4EC5-8826-88374ECB3E67}" name="Date" dataDxfId="52"/>
    <tableColumn id="3" xr3:uid="{BCE5C228-56C8-40F8-A1C8-298A5B12BF54}" name="Prefix" dataDxfId="51"/>
    <tableColumn id="4" xr3:uid="{9E960453-9F63-478F-A0F3-FCE8B7483592}" name="ID" dataDxfId="50"/>
    <tableColumn id="5" xr3:uid="{D4688BB3-2DA6-404C-8280-1CAB2252D0EF}" name="Policy Type" dataDxfId="44">
      <calculatedColumnFormula>HLOOKUP(Claims[[#This Row],[Prefix]],Policy_Types,2,TRUE)</calculatedColumnFormula>
    </tableColumn>
    <tableColumn id="6" xr3:uid="{C88FBC42-B4F7-498C-819B-C408F5982CB5}" name="Agent" dataDxfId="49"/>
    <tableColumn id="7" xr3:uid="{B2F8F71B-3CD0-4045-A498-F314DE8BF8FF}" name="Claim Code" dataDxfId="48"/>
    <tableColumn id="8" xr3:uid="{19E99859-196A-40BA-9D55-B5294469BB7C}" name="Claim Type" dataDxfId="43">
      <calculatedColumnFormula>_xlfn.XLOOKUP(Claims[[#This Row],[Claim Code]],Codes,Claim_Types,,1)</calculatedColumnFormula>
    </tableColumn>
    <tableColumn id="9" xr3:uid="{DB0E7161-52ED-4309-A6FD-7E0AB9FDE015}" name="Coverage" dataDxfId="47"/>
    <tableColumn id="10" xr3:uid="{C89E3C9B-FEF7-49AC-A2ED-D727C8FC1B33}" name="Value" dataDxfId="46"/>
    <tableColumn id="11" xr3:uid="{22B7AEAC-BBDC-4DAE-990C-30A95397C02A}" name="Service" dataDxfId="45"/>
    <tableColumn id="13" xr3:uid="{EF4F25BA-39E1-4341-981A-F1D51449F0A5}" name="Average" dataDxfId="42">
      <calculatedColumnFormula>AVERAGE(Claims[[#This Row],[Coverage]]:Claims[[#This Row],[Service]])</calculatedColumnFormula>
    </tableColumn>
    <tableColumn id="14" xr3:uid="{15586E44-D164-49D8-B6A0-4A31CC086677}" name="Follow Up" dataDxfId="41">
      <calculatedColumnFormula array="1">_xlfn.IFS(Claims[[#This Row],[Policy Type]]="Renters","1 week",Claims[[#This Row],[Average]]&lt;=3,"3 days",TRUE,"")</calculatedColumnFormula>
    </tableColumn>
  </tableColumns>
  <tableStyleInfo name="TableStyleMedium1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EFE0557-359B-5E40-AB6F-1D136C6004EA}" sourceName="Date">
  <pivotTables>
    <pivotTable tabId="4" name="Monthly Ratings"/>
  </pivotTables>
  <state minimalRefreshVersion="6" lastRefreshVersion="6" pivotCacheId="584527695" filterType="dateBetween">
    <selection startDate="2029-04-01T00:00:00" endDate="2029-04-30T00:00:00"/>
    <bounds startDate="2029-01-01T00:00:00" endDate="203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853D520-E0D0-E04C-9129-97352FAA4BEA}" cache="NativeTimeline_Date" caption="Date" level="2" selectionLevel="2" scrollPosition="2029-01-01T00:00:00" style="TimeSlicerStyleLight2"/>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665B4-E3B3-4243-A174-1BA748C3A964}">
  <dimension ref="A1:C11"/>
  <sheetViews>
    <sheetView showGridLines="0" zoomScaleNormal="100" workbookViewId="0">
      <selection activeCell="E1" sqref="E1"/>
    </sheetView>
  </sheetViews>
  <sheetFormatPr baseColWidth="10" defaultColWidth="7.6640625" defaultRowHeight="13" x14ac:dyDescent="0.15"/>
  <cols>
    <col min="1" max="1" width="7.6640625" style="28" customWidth="1"/>
    <col min="2" max="2" width="92.5" style="28" customWidth="1"/>
    <col min="3" max="3" width="3.1640625" style="28" customWidth="1"/>
    <col min="4" max="16384" width="7.6640625" style="28"/>
  </cols>
  <sheetData>
    <row r="1" spans="1:3" ht="42" customHeight="1" x14ac:dyDescent="0.15">
      <c r="A1" s="39"/>
      <c r="B1" s="39"/>
      <c r="C1" s="40"/>
    </row>
    <row r="2" spans="1:3" ht="5" customHeight="1" x14ac:dyDescent="0.2">
      <c r="A2" s="29"/>
      <c r="B2" s="30"/>
      <c r="C2" s="31"/>
    </row>
    <row r="3" spans="1:3" s="35" customFormat="1" ht="36" x14ac:dyDescent="0.15">
      <c r="A3" s="32"/>
      <c r="B3" s="33" t="s">
        <v>53</v>
      </c>
      <c r="C3" s="34"/>
    </row>
    <row r="4" spans="1:3" ht="15" x14ac:dyDescent="0.15">
      <c r="A4" s="32"/>
      <c r="B4" s="36" t="s">
        <v>54</v>
      </c>
      <c r="C4" s="31"/>
    </row>
    <row r="5" spans="1:3" ht="15.75" customHeight="1" x14ac:dyDescent="0.15">
      <c r="A5" s="32"/>
      <c r="B5" s="32"/>
      <c r="C5" s="31"/>
    </row>
    <row r="6" spans="1:3" x14ac:dyDescent="0.15">
      <c r="A6" s="37" t="s">
        <v>55</v>
      </c>
      <c r="B6" s="38" t="s">
        <v>56</v>
      </c>
      <c r="C6" s="31"/>
    </row>
    <row r="7" spans="1:3" x14ac:dyDescent="0.15">
      <c r="A7" s="32"/>
      <c r="B7" s="32"/>
      <c r="C7" s="31"/>
    </row>
    <row r="8" spans="1:3" x14ac:dyDescent="0.15">
      <c r="A8" s="41" t="s">
        <v>57</v>
      </c>
      <c r="B8" s="41"/>
      <c r="C8" s="42"/>
    </row>
    <row r="9" spans="1:3" x14ac:dyDescent="0.15">
      <c r="A9" s="41"/>
      <c r="B9" s="41"/>
      <c r="C9" s="42"/>
    </row>
    <row r="10" spans="1:3" ht="14" thickBot="1" x14ac:dyDescent="0.2">
      <c r="A10" s="43"/>
      <c r="B10" s="43"/>
      <c r="C10" s="44"/>
    </row>
    <row r="11" spans="1:3" ht="14" thickTop="1" x14ac:dyDescent="0.15"/>
  </sheetData>
  <mergeCells count="2">
    <mergeCell ref="A1:C1"/>
    <mergeCell ref="A8:C10"/>
  </mergeCells>
  <dataValidations count="2">
    <dataValidation allowBlank="1" showInputMessage="1" showErrorMessage="1" error="                                                                " sqref="J3" xr:uid="{DC29E2AB-E88F-4407-816D-75F8830BD88C}"/>
    <dataValidation allowBlank="1" error="pavI8MeUFtEyxX2I4tky3797a106-ec0e-4e46-89a4-8ff60c2e0ef5" sqref="A1:C2 A3:C3 A4:C11" xr:uid="{00000000-0002-0000-0000-000001000000}"/>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55CF5-2623-4B99-A3A2-7E319A14BBD2}">
  <dimension ref="B1:R50"/>
  <sheetViews>
    <sheetView topLeftCell="B1" zoomScale="95" zoomScaleNormal="95" workbookViewId="0">
      <selection activeCell="D18" sqref="D18"/>
    </sheetView>
  </sheetViews>
  <sheetFormatPr baseColWidth="10" defaultColWidth="9" defaultRowHeight="16" x14ac:dyDescent="0.2"/>
  <cols>
    <col min="1" max="1" width="3" style="2" customWidth="1"/>
    <col min="2" max="2" width="14.5" style="2" customWidth="1"/>
    <col min="3" max="3" width="9.6640625" style="2" bestFit="1" customWidth="1"/>
    <col min="4" max="4" width="13.1640625" style="2" bestFit="1" customWidth="1"/>
    <col min="5" max="5" width="10.6640625" style="2" customWidth="1"/>
    <col min="6" max="6" width="15.6640625" style="2" bestFit="1" customWidth="1"/>
    <col min="7" max="7" width="10.6640625" style="2" bestFit="1" customWidth="1"/>
    <col min="8" max="9" width="15.33203125" style="2" bestFit="1" customWidth="1"/>
    <col min="10" max="10" width="13.6640625" style="2" bestFit="1" customWidth="1"/>
    <col min="11" max="11" width="10.33203125" style="2" bestFit="1" customWidth="1"/>
    <col min="12" max="12" width="11.83203125" style="2" bestFit="1" customWidth="1"/>
    <col min="13" max="13" width="12.6640625" style="2" bestFit="1" customWidth="1"/>
    <col min="14" max="14" width="14.1640625" style="2" bestFit="1" customWidth="1"/>
    <col min="15" max="15" width="3.6640625" style="2" customWidth="1"/>
    <col min="16" max="16" width="9.5" style="2" bestFit="1" customWidth="1"/>
    <col min="17" max="17" width="9" style="2"/>
    <col min="18" max="18" width="11.1640625" style="2" bestFit="1" customWidth="1"/>
    <col min="19" max="16384" width="9" style="2"/>
  </cols>
  <sheetData>
    <row r="1" spans="2:18" ht="52.5" customHeight="1" x14ac:dyDescent="0.2"/>
    <row r="2" spans="2:18" ht="32.25" customHeight="1" x14ac:dyDescent="0.35">
      <c r="B2" s="45" t="s">
        <v>52</v>
      </c>
      <c r="C2" s="45"/>
      <c r="D2" s="45"/>
      <c r="E2" s="45"/>
      <c r="F2" s="9"/>
      <c r="G2" s="9"/>
      <c r="H2" s="9"/>
      <c r="I2" s="9"/>
      <c r="J2" s="9"/>
      <c r="K2" s="9"/>
      <c r="L2" s="9"/>
    </row>
    <row r="3" spans="2:18" x14ac:dyDescent="0.2">
      <c r="H3" s="10"/>
      <c r="I3" s="11"/>
      <c r="J3" s="11"/>
      <c r="K3" s="11"/>
      <c r="L3" s="11"/>
      <c r="M3" s="11"/>
    </row>
    <row r="4" spans="2:18" ht="20" customHeight="1" thickBot="1" x14ac:dyDescent="0.25">
      <c r="B4" s="6"/>
      <c r="C4" s="6"/>
      <c r="D4" s="49" t="s">
        <v>0</v>
      </c>
      <c r="E4" s="49"/>
      <c r="F4" s="7"/>
      <c r="G4" s="7"/>
      <c r="H4" s="7"/>
      <c r="I4" s="7"/>
      <c r="J4" s="49" t="s">
        <v>29</v>
      </c>
      <c r="K4" s="49"/>
      <c r="L4" s="49"/>
      <c r="M4" s="6"/>
      <c r="N4" s="6"/>
      <c r="P4" s="46" t="s">
        <v>40</v>
      </c>
      <c r="Q4" s="46"/>
      <c r="R4" s="46"/>
    </row>
    <row r="5" spans="2:18" ht="24" customHeight="1" thickBot="1" x14ac:dyDescent="0.25">
      <c r="B5" s="5" t="s">
        <v>50</v>
      </c>
      <c r="C5" s="5" t="s">
        <v>4</v>
      </c>
      <c r="D5" s="5" t="s">
        <v>1</v>
      </c>
      <c r="E5" s="5" t="s">
        <v>2</v>
      </c>
      <c r="F5" s="5" t="s">
        <v>5</v>
      </c>
      <c r="G5" s="5" t="s">
        <v>3</v>
      </c>
      <c r="H5" s="5" t="s">
        <v>6</v>
      </c>
      <c r="I5" s="5" t="s">
        <v>7</v>
      </c>
      <c r="J5" s="5" t="s">
        <v>8</v>
      </c>
      <c r="K5" s="5" t="s">
        <v>9</v>
      </c>
      <c r="L5" s="5" t="s">
        <v>10</v>
      </c>
      <c r="M5" s="5" t="s">
        <v>30</v>
      </c>
      <c r="N5" s="5" t="s">
        <v>51</v>
      </c>
      <c r="P5" s="12" t="s">
        <v>3</v>
      </c>
      <c r="Q5" s="12" t="s">
        <v>38</v>
      </c>
      <c r="R5" s="12" t="s">
        <v>39</v>
      </c>
    </row>
    <row r="6" spans="2:18" x14ac:dyDescent="0.2">
      <c r="B6" s="3">
        <v>29205</v>
      </c>
      <c r="C6" s="8">
        <v>47181</v>
      </c>
      <c r="D6" s="3">
        <v>102</v>
      </c>
      <c r="E6" s="3">
        <v>1911</v>
      </c>
      <c r="F6" s="3" t="str">
        <f>HLOOKUP(Claims[[#This Row],[Prefix]],Policy_Types,2,TRUE)</f>
        <v>Auto</v>
      </c>
      <c r="G6" s="3" t="s">
        <v>16</v>
      </c>
      <c r="H6" s="4">
        <v>2</v>
      </c>
      <c r="I6" s="3" t="str">
        <f>_xlfn.XLOOKUP(Claims[[#This Row],[Claim Code]],Codes,Claim_Types,,1)</f>
        <v>Business liability</v>
      </c>
      <c r="J6" s="27">
        <v>6</v>
      </c>
      <c r="K6" s="27">
        <v>6</v>
      </c>
      <c r="L6" s="27">
        <v>5</v>
      </c>
      <c r="M6" s="24">
        <f>AVERAGE(Claims[[#This Row],[Coverage]]:Claims[[#This Row],[Service]])</f>
        <v>5.666666666666667</v>
      </c>
      <c r="N6" s="4" t="str" cm="1">
        <f t="array" ref="N6">_xlfn.IFS(Claims[[#This Row],[Policy Type]]="Renters","1 week",Claims[[#This Row],[Average]]&lt;=3,"3 days",TRUE,"")</f>
        <v/>
      </c>
      <c r="P6" s="13" t="s">
        <v>16</v>
      </c>
      <c r="Q6" s="16">
        <f>COUNTIF(Claims[Agent],P6)</f>
        <v>8</v>
      </c>
      <c r="R6" s="25">
        <f>AVERAGEIF(Claims[Agent],P6,Claims[Average])</f>
        <v>4.9166666666666661</v>
      </c>
    </row>
    <row r="7" spans="2:18" x14ac:dyDescent="0.2">
      <c r="B7" s="3">
        <v>29206</v>
      </c>
      <c r="C7" s="8">
        <v>47181</v>
      </c>
      <c r="D7" s="3">
        <v>225</v>
      </c>
      <c r="E7" s="3">
        <v>1541</v>
      </c>
      <c r="F7" s="3" t="str">
        <f>HLOOKUP(Claims[[#This Row],[Prefix]],Policy_Types,2,TRUE)</f>
        <v>Home</v>
      </c>
      <c r="G7" s="3" t="s">
        <v>17</v>
      </c>
      <c r="H7" s="4">
        <v>12</v>
      </c>
      <c r="I7" s="3" t="str">
        <f>_xlfn.XLOOKUP(Claims[[#This Row],[Claim Code]],Codes,Claim_Types,,1)</f>
        <v>General</v>
      </c>
      <c r="J7" s="27">
        <v>5</v>
      </c>
      <c r="K7" s="27">
        <v>5</v>
      </c>
      <c r="L7" s="27">
        <v>7</v>
      </c>
      <c r="M7" s="24">
        <f>AVERAGE(Claims[[#This Row],[Coverage]]:Claims[[#This Row],[Service]])</f>
        <v>5.666666666666667</v>
      </c>
      <c r="N7" s="4" t="str" cm="1">
        <f t="array" ref="N7">_xlfn.IFS(Claims[[#This Row],[Policy Type]]="Renters","1 week",Claims[[#This Row],[Average]]&lt;=3,"3 days",TRUE,"")</f>
        <v/>
      </c>
      <c r="P7" s="14" t="s">
        <v>17</v>
      </c>
      <c r="Q7" s="17">
        <f>COUNTIF(Claims[Agent],P7)</f>
        <v>9</v>
      </c>
      <c r="R7" s="26">
        <f>AVERAGEIF(Claims[Agent],P7,Claims[Average])</f>
        <v>5.2592592592592604</v>
      </c>
    </row>
    <row r="8" spans="2:18" x14ac:dyDescent="0.2">
      <c r="B8" s="3">
        <v>29207</v>
      </c>
      <c r="C8" s="8">
        <v>47181</v>
      </c>
      <c r="D8" s="3">
        <v>126</v>
      </c>
      <c r="E8" s="3">
        <v>1170</v>
      </c>
      <c r="F8" s="3" t="str">
        <f>HLOOKUP(Claims[[#This Row],[Prefix]],Policy_Types,2,TRUE)</f>
        <v>Auto</v>
      </c>
      <c r="G8" s="3" t="s">
        <v>18</v>
      </c>
      <c r="H8" s="4">
        <v>15</v>
      </c>
      <c r="I8" s="3" t="str">
        <f>_xlfn.XLOOKUP(Claims[[#This Row],[Claim Code]],Codes,Claim_Types,,1)</f>
        <v>General</v>
      </c>
      <c r="J8" s="27">
        <v>3</v>
      </c>
      <c r="K8" s="27">
        <v>2</v>
      </c>
      <c r="L8" s="27">
        <v>4</v>
      </c>
      <c r="M8" s="24">
        <f>AVERAGE(Claims[[#This Row],[Coverage]]:Claims[[#This Row],[Service]])</f>
        <v>3</v>
      </c>
      <c r="N8" s="4" t="str" cm="1">
        <f t="array" ref="N8">_xlfn.IFS(Claims[[#This Row],[Policy Type]]="Renters","1 week",Claims[[#This Row],[Average]]&lt;=3,"3 days",TRUE,"")</f>
        <v>3 days</v>
      </c>
      <c r="P8" s="14" t="s">
        <v>18</v>
      </c>
      <c r="Q8" s="17">
        <f>COUNTIF(Claims[Agent],P8)</f>
        <v>8</v>
      </c>
      <c r="R8" s="26">
        <f>AVERAGEIF(Claims[Agent],P8,Claims[Average])</f>
        <v>4.0833333333333339</v>
      </c>
    </row>
    <row r="9" spans="2:18" x14ac:dyDescent="0.2">
      <c r="B9" s="3">
        <v>29208</v>
      </c>
      <c r="C9" s="8">
        <v>47182</v>
      </c>
      <c r="D9" s="3">
        <v>237</v>
      </c>
      <c r="E9" s="3">
        <v>1145</v>
      </c>
      <c r="F9" s="3" t="str">
        <f>HLOOKUP(Claims[[#This Row],[Prefix]],Policy_Types,2,TRUE)</f>
        <v>Home</v>
      </c>
      <c r="G9" s="3" t="s">
        <v>16</v>
      </c>
      <c r="H9" s="4">
        <v>8</v>
      </c>
      <c r="I9" s="3" t="str">
        <f>_xlfn.XLOOKUP(Claims[[#This Row],[Claim Code]],Codes,Claim_Types,,1)</f>
        <v>Business liability</v>
      </c>
      <c r="J9" s="27">
        <v>5</v>
      </c>
      <c r="K9" s="27">
        <v>5</v>
      </c>
      <c r="L9" s="27">
        <v>7</v>
      </c>
      <c r="M9" s="24">
        <f>AVERAGE(Claims[[#This Row],[Coverage]]:Claims[[#This Row],[Service]])</f>
        <v>5.666666666666667</v>
      </c>
      <c r="N9" s="4" t="str" cm="1">
        <f t="array" ref="N9">_xlfn.IFS(Claims[[#This Row],[Policy Type]]="Renters","1 week",Claims[[#This Row],[Average]]&lt;=3,"3 days",TRUE,"")</f>
        <v/>
      </c>
      <c r="P9" s="14" t="s">
        <v>19</v>
      </c>
      <c r="Q9" s="17">
        <f>COUNTIF(Claims[Agent],P9)</f>
        <v>6</v>
      </c>
      <c r="R9" s="26">
        <f>AVERAGEIF(Claims[Agent],P9,Claims[Average])</f>
        <v>5.333333333333333</v>
      </c>
    </row>
    <row r="10" spans="2:18" x14ac:dyDescent="0.2">
      <c r="B10" s="3">
        <v>30213</v>
      </c>
      <c r="C10" s="8">
        <v>47184</v>
      </c>
      <c r="D10" s="3">
        <v>304</v>
      </c>
      <c r="E10" s="3">
        <v>2103</v>
      </c>
      <c r="F10" s="3" t="str">
        <f>HLOOKUP(Claims[[#This Row],[Prefix]],Policy_Types,2,TRUE)</f>
        <v>Renters</v>
      </c>
      <c r="G10" s="3" t="s">
        <v>19</v>
      </c>
      <c r="H10" s="4">
        <v>16</v>
      </c>
      <c r="I10" s="3" t="str">
        <f>_xlfn.XLOOKUP(Claims[[#This Row],[Claim Code]],Codes,Claim_Types,,1)</f>
        <v>General</v>
      </c>
      <c r="J10" s="27">
        <v>4</v>
      </c>
      <c r="K10" s="27">
        <v>4</v>
      </c>
      <c r="L10" s="27">
        <v>5</v>
      </c>
      <c r="M10" s="24">
        <f>AVERAGE(Claims[[#This Row],[Coverage]]:Claims[[#This Row],[Service]])</f>
        <v>4.333333333333333</v>
      </c>
      <c r="N10" s="4" t="str" cm="1">
        <f t="array" ref="N10">_xlfn.IFS(Claims[[#This Row],[Policy Type]]="Renters","1 week",Claims[[#This Row],[Average]]&lt;=3,"3 days",TRUE,"")</f>
        <v>1 week</v>
      </c>
      <c r="P10" s="14" t="s">
        <v>20</v>
      </c>
      <c r="Q10" s="17">
        <f>COUNTIF(Claims[Agent],P10)</f>
        <v>7</v>
      </c>
      <c r="R10" s="26">
        <f>AVERAGEIF(Claims[Agent],P10,Claims[Average])</f>
        <v>5.0476190476190483</v>
      </c>
    </row>
    <row r="11" spans="2:18" x14ac:dyDescent="0.2">
      <c r="B11" s="3">
        <v>30214</v>
      </c>
      <c r="C11" s="8">
        <v>47185</v>
      </c>
      <c r="D11" s="3">
        <v>186</v>
      </c>
      <c r="E11" s="3">
        <v>2246</v>
      </c>
      <c r="F11" s="3" t="str">
        <f>HLOOKUP(Claims[[#This Row],[Prefix]],Policy_Types,2,TRUE)</f>
        <v>Auto</v>
      </c>
      <c r="G11" s="3" t="s">
        <v>18</v>
      </c>
      <c r="H11" s="4">
        <v>18</v>
      </c>
      <c r="I11" s="3" t="str">
        <f>_xlfn.XLOOKUP(Claims[[#This Row],[Claim Code]],Codes,Claim_Types,,1)</f>
        <v>Homeowner</v>
      </c>
      <c r="J11" s="27">
        <v>3</v>
      </c>
      <c r="K11" s="27">
        <v>4</v>
      </c>
      <c r="L11" s="27">
        <v>5</v>
      </c>
      <c r="M11" s="24">
        <f>AVERAGE(Claims[[#This Row],[Coverage]]:Claims[[#This Row],[Service]])</f>
        <v>4</v>
      </c>
      <c r="N11" s="4" t="str" cm="1">
        <f t="array" ref="N11">_xlfn.IFS(Claims[[#This Row],[Policy Type]]="Renters","1 week",Claims[[#This Row],[Average]]&lt;=3,"3 days",TRUE,"")</f>
        <v/>
      </c>
      <c r="P11" s="14" t="s">
        <v>21</v>
      </c>
      <c r="Q11" s="17">
        <f>COUNTIF(Claims[Agent],P11)</f>
        <v>4</v>
      </c>
      <c r="R11" s="26">
        <f>AVERAGEIF(Claims[Agent],P11,Claims[Average])</f>
        <v>4.6666666666666661</v>
      </c>
    </row>
    <row r="12" spans="2:18" x14ac:dyDescent="0.2">
      <c r="B12" s="3">
        <v>30215</v>
      </c>
      <c r="C12" s="8">
        <v>47186</v>
      </c>
      <c r="D12" s="3">
        <v>119</v>
      </c>
      <c r="E12" s="3">
        <v>2137</v>
      </c>
      <c r="F12" s="3" t="str">
        <f>HLOOKUP(Claims[[#This Row],[Prefix]],Policy_Types,2,TRUE)</f>
        <v>Auto</v>
      </c>
      <c r="G12" s="3" t="s">
        <v>17</v>
      </c>
      <c r="H12" s="4">
        <v>24</v>
      </c>
      <c r="I12" s="3" t="str">
        <f>_xlfn.XLOOKUP(Claims[[#This Row],[Claim Code]],Codes,Claim_Types,,1)</f>
        <v>Homeowner</v>
      </c>
      <c r="J12" s="27">
        <v>6</v>
      </c>
      <c r="K12" s="27">
        <v>5</v>
      </c>
      <c r="L12" s="27">
        <v>5</v>
      </c>
      <c r="M12" s="24">
        <f>AVERAGE(Claims[[#This Row],[Coverage]]:Claims[[#This Row],[Service]])</f>
        <v>5.333333333333333</v>
      </c>
      <c r="N12" s="4" t="str" cm="1">
        <f t="array" ref="N12">_xlfn.IFS(Claims[[#This Row],[Policy Type]]="Renters","1 week",Claims[[#This Row],[Average]]&lt;=3,"3 days",TRUE,"")</f>
        <v/>
      </c>
      <c r="P12" s="14" t="s">
        <v>22</v>
      </c>
      <c r="Q12" s="17">
        <f>COUNTIF(Claims[Agent],P12)</f>
        <v>3</v>
      </c>
      <c r="R12" s="26">
        <f>AVERAGEIF(Claims[Agent],P12,Claims[Average])</f>
        <v>4.666666666666667</v>
      </c>
    </row>
    <row r="13" spans="2:18" x14ac:dyDescent="0.2">
      <c r="B13" s="3">
        <v>31219</v>
      </c>
      <c r="C13" s="8">
        <v>47189</v>
      </c>
      <c r="D13" s="3">
        <v>276</v>
      </c>
      <c r="E13" s="3">
        <v>2234</v>
      </c>
      <c r="F13" s="3" t="str">
        <f>HLOOKUP(Claims[[#This Row],[Prefix]],Policy_Types,2,TRUE)</f>
        <v>Home</v>
      </c>
      <c r="G13" s="3" t="s">
        <v>20</v>
      </c>
      <c r="H13" s="4">
        <v>31</v>
      </c>
      <c r="I13" s="3" t="str">
        <f>_xlfn.XLOOKUP(Claims[[#This Row],[Claim Code]],Codes,Claim_Types,,1)</f>
        <v>Life insurance</v>
      </c>
      <c r="J13" s="27">
        <v>7</v>
      </c>
      <c r="K13" s="27">
        <v>7</v>
      </c>
      <c r="L13" s="27">
        <v>7</v>
      </c>
      <c r="M13" s="24">
        <f>AVERAGE(Claims[[#This Row],[Coverage]]:Claims[[#This Row],[Service]])</f>
        <v>7</v>
      </c>
      <c r="N13" s="4" t="str" cm="1">
        <f t="array" ref="N13">_xlfn.IFS(Claims[[#This Row],[Policy Type]]="Renters","1 week",Claims[[#This Row],[Average]]&lt;=3,"3 days",TRUE,"")</f>
        <v/>
      </c>
    </row>
    <row r="14" spans="2:18" ht="17" thickBot="1" x14ac:dyDescent="0.25">
      <c r="B14" s="3">
        <v>31220</v>
      </c>
      <c r="C14" s="8">
        <v>47190</v>
      </c>
      <c r="D14" s="3">
        <v>510</v>
      </c>
      <c r="E14" s="3">
        <v>3228</v>
      </c>
      <c r="F14" s="3" t="str">
        <f>HLOOKUP(Claims[[#This Row],[Prefix]],Policy_Types,2,TRUE)</f>
        <v>Rec Vehicle</v>
      </c>
      <c r="G14" s="3" t="s">
        <v>19</v>
      </c>
      <c r="H14" s="4">
        <v>45</v>
      </c>
      <c r="I14" s="3" t="str">
        <f>_xlfn.XLOOKUP(Claims[[#This Row],[Claim Code]],Codes,Claim_Types,,1)</f>
        <v>Property damage</v>
      </c>
      <c r="J14" s="27">
        <v>5</v>
      </c>
      <c r="K14" s="27">
        <v>5</v>
      </c>
      <c r="L14" s="27">
        <v>6</v>
      </c>
      <c r="M14" s="24">
        <f>AVERAGE(Claims[[#This Row],[Coverage]]:Claims[[#This Row],[Service]])</f>
        <v>5.333333333333333</v>
      </c>
      <c r="N14" s="4" t="str" cm="1">
        <f t="array" ref="N14">_xlfn.IFS(Claims[[#This Row],[Policy Type]]="Renters","1 week",Claims[[#This Row],[Average]]&lt;=3,"3 days",TRUE,"")</f>
        <v/>
      </c>
      <c r="P14" s="47" t="s">
        <v>46</v>
      </c>
      <c r="Q14" s="47"/>
      <c r="R14" s="47"/>
    </row>
    <row r="15" spans="2:18" ht="20" thickBot="1" x14ac:dyDescent="0.25">
      <c r="B15" s="3">
        <v>31222</v>
      </c>
      <c r="C15" s="8">
        <v>47192</v>
      </c>
      <c r="D15" s="3">
        <v>402</v>
      </c>
      <c r="E15" s="3">
        <v>3215</v>
      </c>
      <c r="F15" s="3" t="str">
        <f>HLOOKUP(Claims[[#This Row],[Prefix]],Policy_Types,2,TRUE)</f>
        <v>Life</v>
      </c>
      <c r="G15" s="3" t="s">
        <v>18</v>
      </c>
      <c r="H15" s="4">
        <v>4</v>
      </c>
      <c r="I15" s="3" t="str">
        <f>_xlfn.XLOOKUP(Claims[[#This Row],[Claim Code]],Codes,Claim_Types,,1)</f>
        <v>Business liability</v>
      </c>
      <c r="J15" s="27">
        <v>4</v>
      </c>
      <c r="K15" s="27">
        <v>5</v>
      </c>
      <c r="L15" s="27">
        <v>5</v>
      </c>
      <c r="M15" s="24">
        <f>AVERAGE(Claims[[#This Row],[Coverage]]:Claims[[#This Row],[Service]])</f>
        <v>4.666666666666667</v>
      </c>
      <c r="N15" s="4" t="str" cm="1">
        <f t="array" ref="N15">_xlfn.IFS(Claims[[#This Row],[Policy Type]]="Renters","1 week",Claims[[#This Row],[Average]]&lt;=3,"3 days",TRUE,"")</f>
        <v/>
      </c>
      <c r="P15" s="15" t="s">
        <v>42</v>
      </c>
      <c r="Q15" s="48" t="s">
        <v>47</v>
      </c>
      <c r="R15" s="48"/>
    </row>
    <row r="16" spans="2:18" ht="17" thickBot="1" x14ac:dyDescent="0.25">
      <c r="B16" s="3">
        <v>31224</v>
      </c>
      <c r="C16" s="8">
        <v>47193</v>
      </c>
      <c r="D16" s="3">
        <v>336</v>
      </c>
      <c r="E16" s="3">
        <v>4117</v>
      </c>
      <c r="F16" s="3" t="str">
        <f>HLOOKUP(Claims[[#This Row],[Prefix]],Policy_Types,2,TRUE)</f>
        <v>Renters</v>
      </c>
      <c r="G16" s="3" t="s">
        <v>21</v>
      </c>
      <c r="H16" s="4">
        <v>50</v>
      </c>
      <c r="I16" s="3" t="str">
        <f>_xlfn.XLOOKUP(Claims[[#This Row],[Claim Code]],Codes,Claim_Types,,1)</f>
        <v>Property damage</v>
      </c>
      <c r="J16" s="27">
        <v>2</v>
      </c>
      <c r="K16" s="27">
        <v>3</v>
      </c>
      <c r="L16" s="27">
        <v>3</v>
      </c>
      <c r="M16" s="24">
        <f>AVERAGE(Claims[[#This Row],[Coverage]]:Claims[[#This Row],[Service]])</f>
        <v>2.6666666666666665</v>
      </c>
      <c r="N16" s="4" t="str" cm="1">
        <f t="array" ref="N16">_xlfn.IFS(Claims[[#This Row],[Policy Type]]="Renters","1 week",Claims[[#This Row],[Average]]&lt;=3,"3 days",TRUE,"")</f>
        <v>1 week</v>
      </c>
      <c r="P16" s="14" t="s">
        <v>48</v>
      </c>
      <c r="Q16" s="50">
        <f>_xlfn.XMATCH(P21,Claims[Average],1)</f>
        <v>8</v>
      </c>
      <c r="R16" s="50"/>
    </row>
    <row r="17" spans="2:18" x14ac:dyDescent="0.2">
      <c r="B17" s="3">
        <v>32225</v>
      </c>
      <c r="C17" s="8">
        <v>47193</v>
      </c>
      <c r="D17" s="3">
        <v>184</v>
      </c>
      <c r="E17" s="3">
        <v>4140</v>
      </c>
      <c r="F17" s="3" t="str">
        <f>HLOOKUP(Claims[[#This Row],[Prefix]],Policy_Types,2,TRUE)</f>
        <v>Auto</v>
      </c>
      <c r="G17" s="3" t="s">
        <v>21</v>
      </c>
      <c r="H17" s="4">
        <v>22</v>
      </c>
      <c r="I17" s="3" t="str">
        <f>_xlfn.XLOOKUP(Claims[[#This Row],[Claim Code]],Codes,Claim_Types,,1)</f>
        <v>Homeowner</v>
      </c>
      <c r="J17" s="27">
        <v>6</v>
      </c>
      <c r="K17" s="27">
        <v>5</v>
      </c>
      <c r="L17" s="27">
        <v>7</v>
      </c>
      <c r="M17" s="24">
        <f>AVERAGE(Claims[[#This Row],[Coverage]]:Claims[[#This Row],[Service]])</f>
        <v>6</v>
      </c>
      <c r="N17" s="4" t="str" cm="1">
        <f t="array" ref="N17">_xlfn.IFS(Claims[[#This Row],[Policy Type]]="Renters","1 week",Claims[[#This Row],[Average]]&lt;=3,"3 days",TRUE,"")</f>
        <v/>
      </c>
      <c r="P17" s="14" t="s">
        <v>49</v>
      </c>
      <c r="Q17" s="50">
        <f>_xlfn.XMATCH(P27,Claims[Average],1)</f>
        <v>11</v>
      </c>
      <c r="R17" s="50"/>
    </row>
    <row r="18" spans="2:18" x14ac:dyDescent="0.2">
      <c r="B18" s="3">
        <v>32321</v>
      </c>
      <c r="C18" s="8">
        <v>47195</v>
      </c>
      <c r="D18" s="3">
        <v>190</v>
      </c>
      <c r="E18" s="3">
        <v>5224</v>
      </c>
      <c r="F18" s="3" t="str">
        <f>HLOOKUP(Claims[[#This Row],[Prefix]],Policy_Types,2,TRUE)</f>
        <v>Auto</v>
      </c>
      <c r="G18" s="3" t="s">
        <v>16</v>
      </c>
      <c r="H18" s="4">
        <v>11</v>
      </c>
      <c r="I18" s="3" t="str">
        <f>_xlfn.XLOOKUP(Claims[[#This Row],[Claim Code]],Codes,Claim_Types,,1)</f>
        <v>Business liability</v>
      </c>
      <c r="J18" s="27">
        <v>3</v>
      </c>
      <c r="K18" s="27">
        <v>2</v>
      </c>
      <c r="L18" s="27">
        <v>4</v>
      </c>
      <c r="M18" s="24">
        <f>AVERAGE(Claims[[#This Row],[Coverage]]:Claims[[#This Row],[Service]])</f>
        <v>3</v>
      </c>
      <c r="N18" s="4" t="str" cm="1">
        <f t="array" ref="N18">_xlfn.IFS(Claims[[#This Row],[Policy Type]]="Renters","1 week",Claims[[#This Row],[Average]]&lt;=3,"3 days",TRUE,"")</f>
        <v>3 days</v>
      </c>
    </row>
    <row r="19" spans="2:18" ht="17" thickBot="1" x14ac:dyDescent="0.25">
      <c r="B19" s="3">
        <v>33334</v>
      </c>
      <c r="C19" s="8">
        <v>47197</v>
      </c>
      <c r="D19" s="3">
        <v>345</v>
      </c>
      <c r="E19" s="3">
        <v>3126</v>
      </c>
      <c r="F19" s="3" t="str">
        <f>HLOOKUP(Claims[[#This Row],[Prefix]],Policy_Types,2,TRUE)</f>
        <v>Renters</v>
      </c>
      <c r="G19" s="3" t="s">
        <v>22</v>
      </c>
      <c r="H19" s="4">
        <v>23</v>
      </c>
      <c r="I19" s="3" t="str">
        <f>_xlfn.XLOOKUP(Claims[[#This Row],[Claim Code]],Codes,Claim_Types,,1)</f>
        <v>Homeowner</v>
      </c>
      <c r="J19" s="27">
        <v>5</v>
      </c>
      <c r="K19" s="27">
        <v>4</v>
      </c>
      <c r="L19" s="27">
        <v>6</v>
      </c>
      <c r="M19" s="24">
        <f>AVERAGE(Claims[[#This Row],[Coverage]]:Claims[[#This Row],[Service]])</f>
        <v>5</v>
      </c>
      <c r="N19" s="4" t="str" cm="1">
        <f t="array" ref="N19">_xlfn.IFS(Claims[[#This Row],[Policy Type]]="Renters","1 week",Claims[[#This Row],[Average]]&lt;=3,"3 days",TRUE,"")</f>
        <v>1 week</v>
      </c>
      <c r="P19" s="47" t="s">
        <v>41</v>
      </c>
      <c r="Q19" s="47"/>
      <c r="R19" s="47"/>
    </row>
    <row r="20" spans="2:18" ht="20" thickBot="1" x14ac:dyDescent="0.25">
      <c r="B20" s="3">
        <v>33337</v>
      </c>
      <c r="C20" s="8">
        <v>47200</v>
      </c>
      <c r="D20" s="3">
        <v>220</v>
      </c>
      <c r="E20" s="3">
        <v>5210</v>
      </c>
      <c r="F20" s="3" t="str">
        <f>HLOOKUP(Claims[[#This Row],[Prefix]],Policy_Types,2,TRUE)</f>
        <v>Home</v>
      </c>
      <c r="G20" s="3" t="s">
        <v>16</v>
      </c>
      <c r="H20" s="4">
        <v>18</v>
      </c>
      <c r="I20" s="3" t="str">
        <f>_xlfn.XLOOKUP(Claims[[#This Row],[Claim Code]],Codes,Claim_Types,,1)</f>
        <v>Homeowner</v>
      </c>
      <c r="J20" s="27">
        <v>5</v>
      </c>
      <c r="K20" s="27">
        <v>4</v>
      </c>
      <c r="L20" s="27">
        <v>5</v>
      </c>
      <c r="M20" s="24">
        <f>AVERAGE(Claims[[#This Row],[Coverage]]:Claims[[#This Row],[Service]])</f>
        <v>4.666666666666667</v>
      </c>
      <c r="N20" s="4" t="str" cm="1">
        <f t="array" ref="N20">_xlfn.IFS(Claims[[#This Row],[Policy Type]]="Renters","1 week",Claims[[#This Row],[Average]]&lt;=3,"3 days",TRUE,"")</f>
        <v/>
      </c>
      <c r="P20" s="15" t="s">
        <v>42</v>
      </c>
      <c r="Q20" s="48" t="s">
        <v>43</v>
      </c>
      <c r="R20" s="48"/>
    </row>
    <row r="21" spans="2:18" x14ac:dyDescent="0.2">
      <c r="B21" s="3">
        <v>33240</v>
      </c>
      <c r="C21" s="8">
        <v>47200</v>
      </c>
      <c r="D21" s="3">
        <v>153</v>
      </c>
      <c r="E21" s="3">
        <v>2189</v>
      </c>
      <c r="F21" s="3" t="str">
        <f>HLOOKUP(Claims[[#This Row],[Prefix]],Policy_Types,2,TRUE)</f>
        <v>Auto</v>
      </c>
      <c r="G21" s="3" t="s">
        <v>19</v>
      </c>
      <c r="H21" s="4">
        <v>5</v>
      </c>
      <c r="I21" s="3" t="str">
        <f>_xlfn.XLOOKUP(Claims[[#This Row],[Claim Code]],Codes,Claim_Types,,1)</f>
        <v>Business liability</v>
      </c>
      <c r="J21" s="27">
        <v>4</v>
      </c>
      <c r="K21" s="27">
        <v>5</v>
      </c>
      <c r="L21" s="27">
        <v>5</v>
      </c>
      <c r="M21" s="24">
        <f>AVERAGE(Claims[[#This Row],[Coverage]]:Claims[[#This Row],[Service]])</f>
        <v>4.666666666666667</v>
      </c>
      <c r="N21" s="4" t="str" cm="1">
        <f t="array" ref="N21">_xlfn.IFS(Claims[[#This Row],[Policy Type]]="Renters","1 week",Claims[[#This Row],[Average]]&lt;=3,"3 days",TRUE,"")</f>
        <v/>
      </c>
      <c r="P21" s="16">
        <v>7</v>
      </c>
      <c r="Q21" s="13" t="s">
        <v>31</v>
      </c>
      <c r="R21" s="13"/>
    </row>
    <row r="22" spans="2:18" x14ac:dyDescent="0.2">
      <c r="B22" s="3">
        <v>33243</v>
      </c>
      <c r="C22" s="8">
        <v>47202</v>
      </c>
      <c r="D22" s="3">
        <v>159</v>
      </c>
      <c r="E22" s="3">
        <v>3126</v>
      </c>
      <c r="F22" s="3" t="str">
        <f>HLOOKUP(Claims[[#This Row],[Prefix]],Policy_Types,2,TRUE)</f>
        <v>Auto</v>
      </c>
      <c r="G22" s="3" t="s">
        <v>20</v>
      </c>
      <c r="H22" s="4">
        <v>34</v>
      </c>
      <c r="I22" s="3" t="str">
        <f>_xlfn.XLOOKUP(Claims[[#This Row],[Claim Code]],Codes,Claim_Types,,1)</f>
        <v>Life insurance</v>
      </c>
      <c r="J22" s="27">
        <v>6</v>
      </c>
      <c r="K22" s="27">
        <v>5</v>
      </c>
      <c r="L22" s="27">
        <v>6</v>
      </c>
      <c r="M22" s="24">
        <f>AVERAGE(Claims[[#This Row],[Coverage]]:Claims[[#This Row],[Service]])</f>
        <v>5.666666666666667</v>
      </c>
      <c r="N22" s="4" t="str" cm="1">
        <f t="array" ref="N22">_xlfn.IFS(Claims[[#This Row],[Policy Type]]="Renters","1 week",Claims[[#This Row],[Average]]&lt;=3,"3 days",TRUE,"")</f>
        <v/>
      </c>
      <c r="P22" s="17">
        <v>6</v>
      </c>
      <c r="Q22" s="14" t="s">
        <v>33</v>
      </c>
      <c r="R22" s="14"/>
    </row>
    <row r="23" spans="2:18" x14ac:dyDescent="0.2">
      <c r="B23" s="3">
        <v>33244</v>
      </c>
      <c r="C23" s="8">
        <v>47203</v>
      </c>
      <c r="D23" s="3">
        <v>204</v>
      </c>
      <c r="E23" s="3">
        <v>6157</v>
      </c>
      <c r="F23" s="3" t="str">
        <f>HLOOKUP(Claims[[#This Row],[Prefix]],Policy_Types,2,TRUE)</f>
        <v>Home</v>
      </c>
      <c r="G23" s="3" t="s">
        <v>18</v>
      </c>
      <c r="H23" s="4">
        <v>41</v>
      </c>
      <c r="I23" s="3" t="str">
        <f>_xlfn.XLOOKUP(Claims[[#This Row],[Claim Code]],Codes,Claim_Types,,1)</f>
        <v>Property damage</v>
      </c>
      <c r="J23" s="27">
        <v>6</v>
      </c>
      <c r="K23" s="27">
        <v>5</v>
      </c>
      <c r="L23" s="27">
        <v>7</v>
      </c>
      <c r="M23" s="24">
        <f>AVERAGE(Claims[[#This Row],[Coverage]]:Claims[[#This Row],[Service]])</f>
        <v>6</v>
      </c>
      <c r="N23" s="4" t="str" cm="1">
        <f t="array" ref="N23">_xlfn.IFS(Claims[[#This Row],[Policy Type]]="Renters","1 week",Claims[[#This Row],[Average]]&lt;=3,"3 days",TRUE,"")</f>
        <v/>
      </c>
      <c r="P23" s="17">
        <v>5</v>
      </c>
      <c r="Q23" s="14" t="s">
        <v>34</v>
      </c>
      <c r="R23" s="14"/>
    </row>
    <row r="24" spans="2:18" x14ac:dyDescent="0.2">
      <c r="B24" s="3">
        <v>34245</v>
      </c>
      <c r="C24" s="8">
        <v>47204</v>
      </c>
      <c r="D24" s="3">
        <v>221</v>
      </c>
      <c r="E24" s="3">
        <v>5201</v>
      </c>
      <c r="F24" s="3" t="str">
        <f>HLOOKUP(Claims[[#This Row],[Prefix]],Policy_Types,2,TRUE)</f>
        <v>Home</v>
      </c>
      <c r="G24" s="3" t="s">
        <v>17</v>
      </c>
      <c r="H24" s="4">
        <v>33</v>
      </c>
      <c r="I24" s="3" t="str">
        <f>_xlfn.XLOOKUP(Claims[[#This Row],[Claim Code]],Codes,Claim_Types,,1)</f>
        <v>Life insurance</v>
      </c>
      <c r="J24" s="27">
        <v>4</v>
      </c>
      <c r="K24" s="27">
        <v>5</v>
      </c>
      <c r="L24" s="27">
        <v>4</v>
      </c>
      <c r="M24" s="24">
        <f>AVERAGE(Claims[[#This Row],[Coverage]]:Claims[[#This Row],[Service]])</f>
        <v>4.333333333333333</v>
      </c>
      <c r="N24" s="4" t="str" cm="1">
        <f t="array" ref="N24">_xlfn.IFS(Claims[[#This Row],[Policy Type]]="Renters","1 week",Claims[[#This Row],[Average]]&lt;=3,"3 days",TRUE,"")</f>
        <v/>
      </c>
      <c r="P24" s="17">
        <v>4</v>
      </c>
      <c r="Q24" s="14" t="s">
        <v>35</v>
      </c>
      <c r="R24" s="14"/>
    </row>
    <row r="25" spans="2:18" x14ac:dyDescent="0.2">
      <c r="B25" s="3">
        <v>34247</v>
      </c>
      <c r="C25" s="8">
        <v>47205</v>
      </c>
      <c r="D25" s="3">
        <v>342</v>
      </c>
      <c r="E25" s="3">
        <v>6149</v>
      </c>
      <c r="F25" s="3" t="str">
        <f>HLOOKUP(Claims[[#This Row],[Prefix]],Policy_Types,2,TRUE)</f>
        <v>Renters</v>
      </c>
      <c r="G25" s="3" t="s">
        <v>20</v>
      </c>
      <c r="H25" s="4">
        <v>4</v>
      </c>
      <c r="I25" s="3" t="str">
        <f>_xlfn.XLOOKUP(Claims[[#This Row],[Claim Code]],Codes,Claim_Types,,1)</f>
        <v>Business liability</v>
      </c>
      <c r="J25" s="27">
        <v>6</v>
      </c>
      <c r="K25" s="27">
        <v>6</v>
      </c>
      <c r="L25" s="27">
        <v>5</v>
      </c>
      <c r="M25" s="24">
        <f>AVERAGE(Claims[[#This Row],[Coverage]]:Claims[[#This Row],[Service]])</f>
        <v>5.666666666666667</v>
      </c>
      <c r="N25" s="4" t="str" cm="1">
        <f t="array" ref="N25">_xlfn.IFS(Claims[[#This Row],[Policy Type]]="Renters","1 week",Claims[[#This Row],[Average]]&lt;=3,"3 days",TRUE,"")</f>
        <v>1 week</v>
      </c>
      <c r="P25" s="17">
        <v>3</v>
      </c>
      <c r="Q25" s="14" t="s">
        <v>36</v>
      </c>
      <c r="R25" s="14"/>
    </row>
    <row r="26" spans="2:18" x14ac:dyDescent="0.2">
      <c r="B26" s="3">
        <v>34249</v>
      </c>
      <c r="C26" s="8">
        <v>47206</v>
      </c>
      <c r="D26" s="3">
        <v>102</v>
      </c>
      <c r="E26" s="3">
        <v>3223</v>
      </c>
      <c r="F26" s="3" t="str">
        <f>HLOOKUP(Claims[[#This Row],[Prefix]],Policy_Types,2,TRUE)</f>
        <v>Auto</v>
      </c>
      <c r="G26" s="3" t="s">
        <v>16</v>
      </c>
      <c r="H26" s="4">
        <v>13</v>
      </c>
      <c r="I26" s="3" t="str">
        <f>_xlfn.XLOOKUP(Claims[[#This Row],[Claim Code]],Codes,Claim_Types,,1)</f>
        <v>General</v>
      </c>
      <c r="J26" s="27">
        <v>5</v>
      </c>
      <c r="K26" s="27">
        <v>4</v>
      </c>
      <c r="L26" s="27">
        <v>4</v>
      </c>
      <c r="M26" s="24">
        <f>AVERAGE(Claims[[#This Row],[Coverage]]:Claims[[#This Row],[Service]])</f>
        <v>4.333333333333333</v>
      </c>
      <c r="N26" s="4" t="str" cm="1">
        <f t="array" ref="N26">_xlfn.IFS(Claims[[#This Row],[Policy Type]]="Renters","1 week",Claims[[#This Row],[Average]]&lt;=3,"3 days",TRUE,"")</f>
        <v/>
      </c>
      <c r="P26" s="17">
        <v>2</v>
      </c>
      <c r="Q26" s="14" t="s">
        <v>37</v>
      </c>
      <c r="R26" s="14"/>
    </row>
    <row r="27" spans="2:18" x14ac:dyDescent="0.2">
      <c r="B27" s="3">
        <v>34250</v>
      </c>
      <c r="C27" s="8">
        <v>47206</v>
      </c>
      <c r="D27" s="3">
        <v>153</v>
      </c>
      <c r="E27" s="3">
        <v>4241</v>
      </c>
      <c r="F27" s="3" t="str">
        <f>HLOOKUP(Claims[[#This Row],[Prefix]],Policy_Types,2,TRUE)</f>
        <v>Auto</v>
      </c>
      <c r="G27" s="3" t="s">
        <v>22</v>
      </c>
      <c r="H27" s="4">
        <v>37</v>
      </c>
      <c r="I27" s="3" t="str">
        <f>_xlfn.XLOOKUP(Claims[[#This Row],[Claim Code]],Codes,Claim_Types,,1)</f>
        <v>Life insurance</v>
      </c>
      <c r="J27" s="27">
        <v>4</v>
      </c>
      <c r="K27" s="27">
        <v>3</v>
      </c>
      <c r="L27" s="27">
        <v>6</v>
      </c>
      <c r="M27" s="24">
        <f>AVERAGE(Claims[[#This Row],[Coverage]]:Claims[[#This Row],[Service]])</f>
        <v>4.333333333333333</v>
      </c>
      <c r="N27" s="4" t="str" cm="1">
        <f t="array" ref="N27">_xlfn.IFS(Claims[[#This Row],[Policy Type]]="Renters","1 week",Claims[[#This Row],[Average]]&lt;=3,"3 days",TRUE,"")</f>
        <v/>
      </c>
      <c r="P27" s="17">
        <v>1</v>
      </c>
      <c r="Q27" s="14" t="s">
        <v>32</v>
      </c>
      <c r="R27" s="14"/>
    </row>
    <row r="28" spans="2:18" x14ac:dyDescent="0.2">
      <c r="B28" s="3">
        <v>29209</v>
      </c>
      <c r="C28" s="8">
        <v>47213</v>
      </c>
      <c r="D28" s="3">
        <v>190</v>
      </c>
      <c r="E28" s="3">
        <v>4152</v>
      </c>
      <c r="F28" s="3" t="str">
        <f>HLOOKUP(Claims[[#This Row],[Prefix]],Policy_Types,2,TRUE)</f>
        <v>Auto</v>
      </c>
      <c r="G28" s="3" t="s">
        <v>19</v>
      </c>
      <c r="H28" s="4">
        <v>50</v>
      </c>
      <c r="I28" s="3" t="str">
        <f>_xlfn.XLOOKUP(Claims[[#This Row],[Claim Code]],Codes,Claim_Types,,1)</f>
        <v>Property damage</v>
      </c>
      <c r="J28" s="27">
        <v>5</v>
      </c>
      <c r="K28" s="27">
        <v>5</v>
      </c>
      <c r="L28" s="27">
        <v>7</v>
      </c>
      <c r="M28" s="24">
        <f>AVERAGE(Claims[[#This Row],[Coverage]]:Claims[[#This Row],[Service]])</f>
        <v>5.666666666666667</v>
      </c>
      <c r="N28" s="4" t="str" cm="1">
        <f t="array" ref="N28">_xlfn.IFS(Claims[[#This Row],[Policy Type]]="Renters","1 week",Claims[[#This Row],[Average]]&lt;=3,"3 days",TRUE,"")</f>
        <v/>
      </c>
    </row>
    <row r="29" spans="2:18" x14ac:dyDescent="0.2">
      <c r="B29" s="3">
        <v>29210</v>
      </c>
      <c r="C29" s="8">
        <v>47214</v>
      </c>
      <c r="D29" s="3">
        <v>204</v>
      </c>
      <c r="E29" s="3">
        <v>4196</v>
      </c>
      <c r="F29" s="3" t="str">
        <f>HLOOKUP(Claims[[#This Row],[Prefix]],Policy_Types,2,TRUE)</f>
        <v>Home</v>
      </c>
      <c r="G29" s="3" t="s">
        <v>17</v>
      </c>
      <c r="H29" s="4">
        <v>14</v>
      </c>
      <c r="I29" s="3" t="str">
        <f>_xlfn.XLOOKUP(Claims[[#This Row],[Claim Code]],Codes,Claim_Types,,1)</f>
        <v>General</v>
      </c>
      <c r="J29" s="27">
        <v>6</v>
      </c>
      <c r="K29" s="27">
        <v>6</v>
      </c>
      <c r="L29" s="27">
        <v>5</v>
      </c>
      <c r="M29" s="24">
        <f>AVERAGE(Claims[[#This Row],[Coverage]]:Claims[[#This Row],[Service]])</f>
        <v>5.666666666666667</v>
      </c>
      <c r="N29" s="4" t="str" cm="1">
        <f t="array" ref="N29">_xlfn.IFS(Claims[[#This Row],[Policy Type]]="Renters","1 week",Claims[[#This Row],[Average]]&lt;=3,"3 days",TRUE,"")</f>
        <v/>
      </c>
    </row>
    <row r="30" spans="2:18" x14ac:dyDescent="0.2">
      <c r="B30" s="3">
        <v>30212</v>
      </c>
      <c r="C30" s="8">
        <v>47215</v>
      </c>
      <c r="D30" s="3">
        <v>345</v>
      </c>
      <c r="E30" s="3">
        <v>6242</v>
      </c>
      <c r="F30" s="3" t="str">
        <f>HLOOKUP(Claims[[#This Row],[Prefix]],Policy_Types,2,TRUE)</f>
        <v>Renters</v>
      </c>
      <c r="G30" s="3" t="s">
        <v>17</v>
      </c>
      <c r="H30" s="4">
        <v>54</v>
      </c>
      <c r="I30" s="3" t="str">
        <f>_xlfn.XLOOKUP(Claims[[#This Row],[Claim Code]],Codes,Claim_Types,,1)</f>
        <v>Property damage</v>
      </c>
      <c r="J30" s="27">
        <v>5</v>
      </c>
      <c r="K30" s="27">
        <v>6</v>
      </c>
      <c r="L30" s="27">
        <v>6</v>
      </c>
      <c r="M30" s="24">
        <f>AVERAGE(Claims[[#This Row],[Coverage]]:Claims[[#This Row],[Service]])</f>
        <v>5.666666666666667</v>
      </c>
      <c r="N30" s="4" t="str" cm="1">
        <f t="array" ref="N30">_xlfn.IFS(Claims[[#This Row],[Policy Type]]="Renters","1 week",Claims[[#This Row],[Average]]&lt;=3,"3 days",TRUE,"")</f>
        <v>1 week</v>
      </c>
    </row>
    <row r="31" spans="2:18" x14ac:dyDescent="0.2">
      <c r="B31" s="3">
        <v>30216</v>
      </c>
      <c r="C31" s="8">
        <v>47217</v>
      </c>
      <c r="D31" s="3">
        <v>276</v>
      </c>
      <c r="E31" s="3">
        <v>7143</v>
      </c>
      <c r="F31" s="3" t="str">
        <f>HLOOKUP(Claims[[#This Row],[Prefix]],Policy_Types,2,TRUE)</f>
        <v>Home</v>
      </c>
      <c r="G31" s="3" t="s">
        <v>16</v>
      </c>
      <c r="H31" s="4">
        <v>6</v>
      </c>
      <c r="I31" s="3" t="str">
        <f>_xlfn.XLOOKUP(Claims[[#This Row],[Claim Code]],Codes,Claim_Types,,1)</f>
        <v>Business liability</v>
      </c>
      <c r="J31" s="27">
        <v>6</v>
      </c>
      <c r="K31" s="27">
        <v>5</v>
      </c>
      <c r="L31" s="27">
        <v>7</v>
      </c>
      <c r="M31" s="24">
        <f>AVERAGE(Claims[[#This Row],[Coverage]]:Claims[[#This Row],[Service]])</f>
        <v>6</v>
      </c>
      <c r="N31" s="4" t="str" cm="1">
        <f t="array" ref="N31">_xlfn.IFS(Claims[[#This Row],[Policy Type]]="Renters","1 week",Claims[[#This Row],[Average]]&lt;=3,"3 days",TRUE,"")</f>
        <v/>
      </c>
    </row>
    <row r="32" spans="2:18" x14ac:dyDescent="0.2">
      <c r="B32" s="3">
        <v>30217</v>
      </c>
      <c r="C32" s="8">
        <v>47218</v>
      </c>
      <c r="D32" s="3">
        <v>186</v>
      </c>
      <c r="E32" s="3">
        <v>1557</v>
      </c>
      <c r="F32" s="3" t="str">
        <f>HLOOKUP(Claims[[#This Row],[Prefix]],Policy_Types,2,TRUE)</f>
        <v>Auto</v>
      </c>
      <c r="G32" s="3" t="s">
        <v>18</v>
      </c>
      <c r="H32" s="4">
        <v>35</v>
      </c>
      <c r="I32" s="3" t="str">
        <f>_xlfn.XLOOKUP(Claims[[#This Row],[Claim Code]],Codes,Claim_Types,,1)</f>
        <v>Life insurance</v>
      </c>
      <c r="J32" s="27">
        <v>3</v>
      </c>
      <c r="K32" s="27">
        <v>2</v>
      </c>
      <c r="L32" s="27">
        <v>4</v>
      </c>
      <c r="M32" s="24">
        <f>AVERAGE(Claims[[#This Row],[Coverage]]:Claims[[#This Row],[Service]])</f>
        <v>3</v>
      </c>
      <c r="N32" s="4" t="str" cm="1">
        <f t="array" ref="N32">_xlfn.IFS(Claims[[#This Row],[Policy Type]]="Renters","1 week",Claims[[#This Row],[Average]]&lt;=3,"3 days",TRUE,"")</f>
        <v>3 days</v>
      </c>
    </row>
    <row r="33" spans="2:14" x14ac:dyDescent="0.2">
      <c r="B33" s="3">
        <v>31231</v>
      </c>
      <c r="C33" s="8">
        <v>47224</v>
      </c>
      <c r="D33" s="3">
        <v>199</v>
      </c>
      <c r="E33" s="3">
        <v>1171</v>
      </c>
      <c r="F33" s="3" t="str">
        <f>HLOOKUP(Claims[[#This Row],[Prefix]],Policy_Types,2,TRUE)</f>
        <v>Auto</v>
      </c>
      <c r="G33" s="3" t="s">
        <v>21</v>
      </c>
      <c r="H33" s="4">
        <v>53</v>
      </c>
      <c r="I33" s="3" t="str">
        <f>_xlfn.XLOOKUP(Claims[[#This Row],[Claim Code]],Codes,Claim_Types,,1)</f>
        <v>Property damage</v>
      </c>
      <c r="J33" s="27">
        <v>5</v>
      </c>
      <c r="K33" s="27">
        <v>4</v>
      </c>
      <c r="L33" s="27">
        <v>6</v>
      </c>
      <c r="M33" s="24">
        <f>AVERAGE(Claims[[#This Row],[Coverage]]:Claims[[#This Row],[Service]])</f>
        <v>5</v>
      </c>
      <c r="N33" s="4" t="str" cm="1">
        <f t="array" ref="N33">_xlfn.IFS(Claims[[#This Row],[Policy Type]]="Renters","1 week",Claims[[#This Row],[Average]]&lt;=3,"3 days",TRUE,"")</f>
        <v/>
      </c>
    </row>
    <row r="34" spans="2:14" x14ac:dyDescent="0.2">
      <c r="B34" s="3">
        <v>32227</v>
      </c>
      <c r="C34" s="8">
        <v>47225</v>
      </c>
      <c r="D34" s="3">
        <v>220</v>
      </c>
      <c r="E34" s="3">
        <v>2227</v>
      </c>
      <c r="F34" s="3" t="str">
        <f>HLOOKUP(Claims[[#This Row],[Prefix]],Policy_Types,2,TRUE)</f>
        <v>Home</v>
      </c>
      <c r="G34" s="3" t="s">
        <v>22</v>
      </c>
      <c r="H34" s="4">
        <v>22</v>
      </c>
      <c r="I34" s="3" t="str">
        <f>_xlfn.XLOOKUP(Claims[[#This Row],[Claim Code]],Codes,Claim_Types,,1)</f>
        <v>Homeowner</v>
      </c>
      <c r="J34" s="27">
        <v>5</v>
      </c>
      <c r="K34" s="27">
        <v>4</v>
      </c>
      <c r="L34" s="27">
        <v>5</v>
      </c>
      <c r="M34" s="24">
        <f>AVERAGE(Claims[[#This Row],[Coverage]]:Claims[[#This Row],[Service]])</f>
        <v>4.666666666666667</v>
      </c>
      <c r="N34" s="4" t="str" cm="1">
        <f t="array" ref="N34">_xlfn.IFS(Claims[[#This Row],[Policy Type]]="Renters","1 week",Claims[[#This Row],[Average]]&lt;=3,"3 days",TRUE,"")</f>
        <v/>
      </c>
    </row>
    <row r="35" spans="2:14" x14ac:dyDescent="0.2">
      <c r="B35" s="3">
        <v>32228</v>
      </c>
      <c r="C35" s="8">
        <v>47225</v>
      </c>
      <c r="D35" s="3">
        <v>276</v>
      </c>
      <c r="E35" s="3">
        <v>4177</v>
      </c>
      <c r="F35" s="3" t="str">
        <f>HLOOKUP(Claims[[#This Row],[Prefix]],Policy_Types,2,TRUE)</f>
        <v>Home</v>
      </c>
      <c r="G35" s="3" t="s">
        <v>17</v>
      </c>
      <c r="H35" s="4">
        <v>26</v>
      </c>
      <c r="I35" s="3" t="str">
        <f>_xlfn.XLOOKUP(Claims[[#This Row],[Claim Code]],Codes,Claim_Types,,1)</f>
        <v>Homeowner</v>
      </c>
      <c r="J35" s="27">
        <v>4</v>
      </c>
      <c r="K35" s="27">
        <v>5</v>
      </c>
      <c r="L35" s="27">
        <v>5</v>
      </c>
      <c r="M35" s="24">
        <f>AVERAGE(Claims[[#This Row],[Coverage]]:Claims[[#This Row],[Service]])</f>
        <v>4.666666666666667</v>
      </c>
      <c r="N35" s="4" t="str" cm="1">
        <f t="array" ref="N35">_xlfn.IFS(Claims[[#This Row],[Policy Type]]="Renters","1 week",Claims[[#This Row],[Average]]&lt;=3,"3 days",TRUE,"")</f>
        <v/>
      </c>
    </row>
    <row r="36" spans="2:14" x14ac:dyDescent="0.2">
      <c r="B36" s="3">
        <v>33335</v>
      </c>
      <c r="C36" s="8">
        <v>47228</v>
      </c>
      <c r="D36" s="3">
        <v>190</v>
      </c>
      <c r="E36" s="3">
        <v>7196</v>
      </c>
      <c r="F36" s="3" t="str">
        <f>HLOOKUP(Claims[[#This Row],[Prefix]],Policy_Types,2,TRUE)</f>
        <v>Auto</v>
      </c>
      <c r="G36" s="3" t="s">
        <v>17</v>
      </c>
      <c r="H36" s="4">
        <v>9</v>
      </c>
      <c r="I36" s="3" t="str">
        <f>_xlfn.XLOOKUP(Claims[[#This Row],[Claim Code]],Codes,Claim_Types,,1)</f>
        <v>Business liability</v>
      </c>
      <c r="J36" s="27">
        <v>5</v>
      </c>
      <c r="K36" s="27">
        <v>5</v>
      </c>
      <c r="L36" s="27">
        <v>6</v>
      </c>
      <c r="M36" s="24">
        <f>AVERAGE(Claims[[#This Row],[Coverage]]:Claims[[#This Row],[Service]])</f>
        <v>5.333333333333333</v>
      </c>
      <c r="N36" s="4" t="str" cm="1">
        <f t="array" ref="N36">_xlfn.IFS(Claims[[#This Row],[Policy Type]]="Renters","1 week",Claims[[#This Row],[Average]]&lt;=3,"3 days",TRUE,"")</f>
        <v/>
      </c>
    </row>
    <row r="37" spans="2:14" x14ac:dyDescent="0.2">
      <c r="B37" s="3">
        <v>33338</v>
      </c>
      <c r="C37" s="8">
        <v>47230</v>
      </c>
      <c r="D37" s="3">
        <v>225</v>
      </c>
      <c r="E37" s="3">
        <v>2213</v>
      </c>
      <c r="F37" s="3" t="str">
        <f>HLOOKUP(Claims[[#This Row],[Prefix]],Policy_Types,2,TRUE)</f>
        <v>Home</v>
      </c>
      <c r="G37" s="3" t="s">
        <v>18</v>
      </c>
      <c r="H37" s="4">
        <v>25</v>
      </c>
      <c r="I37" s="3" t="str">
        <f>_xlfn.XLOOKUP(Claims[[#This Row],[Claim Code]],Codes,Claim_Types,,1)</f>
        <v>Homeowner</v>
      </c>
      <c r="J37" s="27">
        <v>4</v>
      </c>
      <c r="K37" s="27">
        <v>5</v>
      </c>
      <c r="L37" s="27">
        <v>5</v>
      </c>
      <c r="M37" s="24">
        <f>AVERAGE(Claims[[#This Row],[Coverage]]:Claims[[#This Row],[Service]])</f>
        <v>4.666666666666667</v>
      </c>
      <c r="N37" s="4" t="str" cm="1">
        <f t="array" ref="N37">_xlfn.IFS(Claims[[#This Row],[Policy Type]]="Renters","1 week",Claims[[#This Row],[Average]]&lt;=3,"3 days",TRUE,"")</f>
        <v/>
      </c>
    </row>
    <row r="38" spans="2:14" x14ac:dyDescent="0.2">
      <c r="B38" s="3">
        <v>33241</v>
      </c>
      <c r="C38" s="8">
        <v>47231</v>
      </c>
      <c r="D38" s="3">
        <v>512</v>
      </c>
      <c r="E38" s="3">
        <v>5200</v>
      </c>
      <c r="F38" s="3" t="str">
        <f>HLOOKUP(Claims[[#This Row],[Prefix]],Policy_Types,2,TRUE)</f>
        <v>Rec Vehicle</v>
      </c>
      <c r="G38" s="3" t="s">
        <v>20</v>
      </c>
      <c r="H38" s="4">
        <v>42</v>
      </c>
      <c r="I38" s="3" t="str">
        <f>_xlfn.XLOOKUP(Claims[[#This Row],[Claim Code]],Codes,Claim_Types,,1)</f>
        <v>Property damage</v>
      </c>
      <c r="J38" s="27">
        <v>2</v>
      </c>
      <c r="K38" s="27">
        <v>3</v>
      </c>
      <c r="L38" s="27">
        <v>3</v>
      </c>
      <c r="M38" s="24">
        <f>AVERAGE(Claims[[#This Row],[Coverage]]:Claims[[#This Row],[Service]])</f>
        <v>2.6666666666666665</v>
      </c>
      <c r="N38" s="4" t="str" cm="1">
        <f t="array" ref="N38">_xlfn.IFS(Claims[[#This Row],[Policy Type]]="Renters","1 week",Claims[[#This Row],[Average]]&lt;=3,"3 days",TRUE,"")</f>
        <v>3 days</v>
      </c>
    </row>
    <row r="39" spans="2:14" x14ac:dyDescent="0.2">
      <c r="B39" s="3">
        <v>33242</v>
      </c>
      <c r="C39" s="8">
        <v>47232</v>
      </c>
      <c r="D39" s="3">
        <v>159</v>
      </c>
      <c r="E39" s="3">
        <v>8144</v>
      </c>
      <c r="F39" s="3" t="str">
        <f>HLOOKUP(Claims[[#This Row],[Prefix]],Policy_Types,2,TRUE)</f>
        <v>Auto</v>
      </c>
      <c r="G39" s="3" t="s">
        <v>19</v>
      </c>
      <c r="H39" s="4">
        <v>33</v>
      </c>
      <c r="I39" s="3" t="str">
        <f>_xlfn.XLOOKUP(Claims[[#This Row],[Claim Code]],Codes,Claim_Types,,1)</f>
        <v>Life insurance</v>
      </c>
      <c r="J39" s="27">
        <v>6</v>
      </c>
      <c r="K39" s="27">
        <v>5</v>
      </c>
      <c r="L39" s="27">
        <v>7</v>
      </c>
      <c r="M39" s="24">
        <f>AVERAGE(Claims[[#This Row],[Coverage]]:Claims[[#This Row],[Service]])</f>
        <v>6</v>
      </c>
      <c r="N39" s="4" t="str" cm="1">
        <f t="array" ref="N39">_xlfn.IFS(Claims[[#This Row],[Policy Type]]="Renters","1 week",Claims[[#This Row],[Average]]&lt;=3,"3 days",TRUE,"")</f>
        <v/>
      </c>
    </row>
    <row r="40" spans="2:14" x14ac:dyDescent="0.2">
      <c r="B40" s="3">
        <v>34251</v>
      </c>
      <c r="C40" s="8">
        <v>47238</v>
      </c>
      <c r="D40" s="3">
        <v>160</v>
      </c>
      <c r="E40" s="3">
        <v>8147</v>
      </c>
      <c r="F40" s="3" t="str">
        <f>HLOOKUP(Claims[[#This Row],[Prefix]],Policy_Types,2,TRUE)</f>
        <v>Auto</v>
      </c>
      <c r="G40" s="3" t="s">
        <v>16</v>
      </c>
      <c r="H40" s="4">
        <v>25</v>
      </c>
      <c r="I40" s="3" t="str">
        <f>_xlfn.XLOOKUP(Claims[[#This Row],[Claim Code]],Codes,Claim_Types,,1)</f>
        <v>Homeowner</v>
      </c>
      <c r="J40" s="27">
        <v>3</v>
      </c>
      <c r="K40" s="27">
        <v>2</v>
      </c>
      <c r="L40" s="27">
        <v>4</v>
      </c>
      <c r="M40" s="24">
        <f>AVERAGE(Claims[[#This Row],[Coverage]]:Claims[[#This Row],[Service]])</f>
        <v>3</v>
      </c>
      <c r="N40" s="4" t="str" cm="1">
        <f t="array" ref="N40">_xlfn.IFS(Claims[[#This Row],[Policy Type]]="Renters","1 week",Claims[[#This Row],[Average]]&lt;=3,"3 days",TRUE,"")</f>
        <v>3 days</v>
      </c>
    </row>
    <row r="41" spans="2:14" x14ac:dyDescent="0.2">
      <c r="B41" s="3">
        <v>29211</v>
      </c>
      <c r="C41" s="8">
        <v>47244</v>
      </c>
      <c r="D41" s="3">
        <v>304</v>
      </c>
      <c r="E41" s="3">
        <v>9215</v>
      </c>
      <c r="F41" s="3" t="str">
        <f>HLOOKUP(Claims[[#This Row],[Prefix]],Policy_Types,2,TRUE)</f>
        <v>Renters</v>
      </c>
      <c r="G41" s="3" t="s">
        <v>20</v>
      </c>
      <c r="H41" s="4">
        <v>27</v>
      </c>
      <c r="I41" s="3" t="str">
        <f>_xlfn.XLOOKUP(Claims[[#This Row],[Claim Code]],Codes,Claim_Types,,1)</f>
        <v>Homeowner</v>
      </c>
      <c r="J41" s="27">
        <v>7</v>
      </c>
      <c r="K41" s="27">
        <v>7</v>
      </c>
      <c r="L41" s="27">
        <v>7</v>
      </c>
      <c r="M41" s="24">
        <f>AVERAGE(Claims[[#This Row],[Coverage]]:Claims[[#This Row],[Service]])</f>
        <v>7</v>
      </c>
      <c r="N41" s="4" t="str" cm="1">
        <f t="array" ref="N41">_xlfn.IFS(Claims[[#This Row],[Policy Type]]="Renters","1 week",Claims[[#This Row],[Average]]&lt;=3,"3 days",TRUE,"")</f>
        <v>1 week</v>
      </c>
    </row>
    <row r="42" spans="2:14" x14ac:dyDescent="0.2">
      <c r="B42" s="3">
        <v>31218</v>
      </c>
      <c r="C42" s="8">
        <v>47250</v>
      </c>
      <c r="D42" s="3">
        <v>441</v>
      </c>
      <c r="E42" s="3">
        <v>6128</v>
      </c>
      <c r="F42" s="3" t="str">
        <f>HLOOKUP(Claims[[#This Row],[Prefix]],Policy_Types,2,TRUE)</f>
        <v>Life</v>
      </c>
      <c r="G42" s="3" t="s">
        <v>17</v>
      </c>
      <c r="H42" s="4">
        <v>30</v>
      </c>
      <c r="I42" s="3" t="str">
        <f>_xlfn.XLOOKUP(Claims[[#This Row],[Claim Code]],Codes,Claim_Types,,1)</f>
        <v>Homeowner</v>
      </c>
      <c r="J42" s="27">
        <v>5</v>
      </c>
      <c r="K42" s="27">
        <v>5</v>
      </c>
      <c r="L42" s="27">
        <v>6</v>
      </c>
      <c r="M42" s="24">
        <f>AVERAGE(Claims[[#This Row],[Coverage]]:Claims[[#This Row],[Service]])</f>
        <v>5.333333333333333</v>
      </c>
      <c r="N42" s="4" t="str" cm="1">
        <f t="array" ref="N42">_xlfn.IFS(Claims[[#This Row],[Policy Type]]="Renters","1 week",Claims[[#This Row],[Average]]&lt;=3,"3 days",TRUE,"")</f>
        <v/>
      </c>
    </row>
    <row r="43" spans="2:14" x14ac:dyDescent="0.2">
      <c r="B43" s="3">
        <v>31221</v>
      </c>
      <c r="C43" s="8">
        <v>47252</v>
      </c>
      <c r="D43" s="3">
        <v>145</v>
      </c>
      <c r="E43" s="3">
        <v>9136</v>
      </c>
      <c r="F43" s="3" t="str">
        <f>HLOOKUP(Claims[[#This Row],[Prefix]],Policy_Types,2,TRUE)</f>
        <v>Auto</v>
      </c>
      <c r="G43" s="3" t="s">
        <v>18</v>
      </c>
      <c r="H43" s="4">
        <v>42</v>
      </c>
      <c r="I43" s="3" t="str">
        <f>_xlfn.XLOOKUP(Claims[[#This Row],[Claim Code]],Codes,Claim_Types,,1)</f>
        <v>Property damage</v>
      </c>
      <c r="J43" s="27">
        <v>4</v>
      </c>
      <c r="K43" s="27">
        <v>5</v>
      </c>
      <c r="L43" s="27">
        <v>5</v>
      </c>
      <c r="M43" s="24">
        <f>AVERAGE(Claims[[#This Row],[Coverage]]:Claims[[#This Row],[Service]])</f>
        <v>4.666666666666667</v>
      </c>
      <c r="N43" s="4" t="str" cm="1">
        <f t="array" ref="N43">_xlfn.IFS(Claims[[#This Row],[Policy Type]]="Renters","1 week",Claims[[#This Row],[Average]]&lt;=3,"3 days",TRUE,"")</f>
        <v/>
      </c>
    </row>
    <row r="44" spans="2:14" x14ac:dyDescent="0.2">
      <c r="B44" s="3">
        <v>32226</v>
      </c>
      <c r="C44" s="8">
        <v>47254</v>
      </c>
      <c r="D44" s="3">
        <v>153</v>
      </c>
      <c r="E44" s="3">
        <v>9182</v>
      </c>
      <c r="F44" s="3" t="str">
        <f>HLOOKUP(Claims[[#This Row],[Prefix]],Policy_Types,2,TRUE)</f>
        <v>Auto</v>
      </c>
      <c r="G44" s="3" t="s">
        <v>18</v>
      </c>
      <c r="H44" s="4">
        <v>6</v>
      </c>
      <c r="I44" s="3" t="str">
        <f>_xlfn.XLOOKUP(Claims[[#This Row],[Claim Code]],Codes,Claim_Types,,1)</f>
        <v>Business liability</v>
      </c>
      <c r="J44" s="27">
        <v>2</v>
      </c>
      <c r="K44" s="27">
        <v>3</v>
      </c>
      <c r="L44" s="27">
        <v>3</v>
      </c>
      <c r="M44" s="24">
        <f>AVERAGE(Claims[[#This Row],[Coverage]]:Claims[[#This Row],[Service]])</f>
        <v>2.6666666666666665</v>
      </c>
      <c r="N44" s="4" t="str" cm="1">
        <f t="array" ref="N44">_xlfn.IFS(Claims[[#This Row],[Policy Type]]="Renters","1 week",Claims[[#This Row],[Average]]&lt;=3,"3 days",TRUE,"")</f>
        <v>3 days</v>
      </c>
    </row>
    <row r="45" spans="2:14" x14ac:dyDescent="0.2">
      <c r="B45" s="3">
        <v>32322</v>
      </c>
      <c r="C45" s="8">
        <v>47256</v>
      </c>
      <c r="D45" s="3">
        <v>224</v>
      </c>
      <c r="E45" s="3">
        <v>4126</v>
      </c>
      <c r="F45" s="3" t="str">
        <f>HLOOKUP(Claims[[#This Row],[Prefix]],Policy_Types,2,TRUE)</f>
        <v>Home</v>
      </c>
      <c r="G45" s="3" t="s">
        <v>19</v>
      </c>
      <c r="H45" s="4">
        <v>9</v>
      </c>
      <c r="I45" s="3" t="str">
        <f>_xlfn.XLOOKUP(Claims[[#This Row],[Claim Code]],Codes,Claim_Types,,1)</f>
        <v>Business liability</v>
      </c>
      <c r="J45" s="27">
        <v>6</v>
      </c>
      <c r="K45" s="27">
        <v>5</v>
      </c>
      <c r="L45" s="27">
        <v>7</v>
      </c>
      <c r="M45" s="24">
        <f>AVERAGE(Claims[[#This Row],[Coverage]]:Claims[[#This Row],[Service]])</f>
        <v>6</v>
      </c>
      <c r="N45" s="4" t="str" cm="1">
        <f t="array" ref="N45">_xlfn.IFS(Claims[[#This Row],[Policy Type]]="Renters","1 week",Claims[[#This Row],[Average]]&lt;=3,"3 days",TRUE,"")</f>
        <v/>
      </c>
    </row>
    <row r="46" spans="2:14" x14ac:dyDescent="0.2">
      <c r="B46" s="3">
        <v>32323</v>
      </c>
      <c r="C46" s="8">
        <v>47256</v>
      </c>
      <c r="D46" s="3">
        <v>345</v>
      </c>
      <c r="E46" s="3">
        <v>7147</v>
      </c>
      <c r="F46" s="3" t="str">
        <f>HLOOKUP(Claims[[#This Row],[Prefix]],Policy_Types,2,TRUE)</f>
        <v>Renters</v>
      </c>
      <c r="G46" s="3" t="s">
        <v>20</v>
      </c>
      <c r="H46" s="4">
        <v>19</v>
      </c>
      <c r="I46" s="3" t="str">
        <f>_xlfn.XLOOKUP(Claims[[#This Row],[Claim Code]],Codes,Claim_Types,,1)</f>
        <v>Homeowner</v>
      </c>
      <c r="J46" s="27">
        <v>3</v>
      </c>
      <c r="K46" s="27">
        <v>2</v>
      </c>
      <c r="L46" s="27">
        <v>4</v>
      </c>
      <c r="M46" s="24">
        <f>AVERAGE(Claims[[#This Row],[Coverage]]:Claims[[#This Row],[Service]])</f>
        <v>3</v>
      </c>
      <c r="N46" s="4" t="str" cm="1">
        <f t="array" ref="N46">_xlfn.IFS(Claims[[#This Row],[Policy Type]]="Renters","1 week",Claims[[#This Row],[Average]]&lt;=3,"3 days",TRUE,"")</f>
        <v>1 week</v>
      </c>
    </row>
    <row r="47" spans="2:14" x14ac:dyDescent="0.2">
      <c r="B47" s="3">
        <v>33336</v>
      </c>
      <c r="C47" s="8">
        <v>47258</v>
      </c>
      <c r="D47" s="3">
        <v>502</v>
      </c>
      <c r="E47" s="3">
        <v>8117</v>
      </c>
      <c r="F47" s="3" t="str">
        <f>HLOOKUP(Claims[[#This Row],[Prefix]],Policy_Types,2,TRUE)</f>
        <v>Rec Vehicle</v>
      </c>
      <c r="G47" s="3" t="s">
        <v>21</v>
      </c>
      <c r="H47" s="4">
        <v>20</v>
      </c>
      <c r="I47" s="3" t="str">
        <f>_xlfn.XLOOKUP(Claims[[#This Row],[Claim Code]],Codes,Claim_Types,,1)</f>
        <v>Homeowner</v>
      </c>
      <c r="J47" s="27">
        <v>5</v>
      </c>
      <c r="K47" s="27">
        <v>4</v>
      </c>
      <c r="L47" s="27">
        <v>6</v>
      </c>
      <c r="M47" s="24">
        <f>AVERAGE(Claims[[#This Row],[Coverage]]:Claims[[#This Row],[Service]])</f>
        <v>5</v>
      </c>
      <c r="N47" s="4" t="str" cm="1">
        <f t="array" ref="N47">_xlfn.IFS(Claims[[#This Row],[Policy Type]]="Renters","1 week",Claims[[#This Row],[Average]]&lt;=3,"3 days",TRUE,"")</f>
        <v/>
      </c>
    </row>
    <row r="48" spans="2:14" x14ac:dyDescent="0.2">
      <c r="B48" s="3">
        <v>33339</v>
      </c>
      <c r="C48" s="8">
        <v>47260</v>
      </c>
      <c r="D48" s="3">
        <v>401</v>
      </c>
      <c r="E48" s="3">
        <v>1178</v>
      </c>
      <c r="F48" s="3" t="str">
        <f>HLOOKUP(Claims[[#This Row],[Prefix]],Policy_Types,2,TRUE)</f>
        <v>Life</v>
      </c>
      <c r="G48" s="3" t="s">
        <v>20</v>
      </c>
      <c r="H48" s="4">
        <v>13</v>
      </c>
      <c r="I48" s="3" t="str">
        <f>_xlfn.XLOOKUP(Claims[[#This Row],[Claim Code]],Codes,Claim_Types,,1)</f>
        <v>General</v>
      </c>
      <c r="J48" s="27">
        <v>4</v>
      </c>
      <c r="K48" s="27">
        <v>5</v>
      </c>
      <c r="L48" s="27">
        <v>4</v>
      </c>
      <c r="M48" s="24">
        <f>AVERAGE(Claims[[#This Row],[Coverage]]:Claims[[#This Row],[Service]])</f>
        <v>4.333333333333333</v>
      </c>
      <c r="N48" s="4" t="str" cm="1">
        <f t="array" ref="N48">_xlfn.IFS(Claims[[#This Row],[Policy Type]]="Renters","1 week",Claims[[#This Row],[Average]]&lt;=3,"3 days",TRUE,"")</f>
        <v/>
      </c>
    </row>
    <row r="49" spans="2:14" x14ac:dyDescent="0.2">
      <c r="B49" s="3">
        <v>34246</v>
      </c>
      <c r="C49" s="8">
        <v>47266</v>
      </c>
      <c r="D49" s="3">
        <v>184</v>
      </c>
      <c r="E49" s="3">
        <v>6242</v>
      </c>
      <c r="F49" s="3" t="str">
        <f>HLOOKUP(Claims[[#This Row],[Prefix]],Policy_Types,2,TRUE)</f>
        <v>Auto</v>
      </c>
      <c r="G49" s="3" t="s">
        <v>16</v>
      </c>
      <c r="H49" s="4">
        <v>6</v>
      </c>
      <c r="I49" s="3" t="str">
        <f>_xlfn.XLOOKUP(Claims[[#This Row],[Claim Code]],Codes,Claim_Types,,1)</f>
        <v>Business liability</v>
      </c>
      <c r="J49" s="27">
        <v>7</v>
      </c>
      <c r="K49" s="27">
        <v>7</v>
      </c>
      <c r="L49" s="27">
        <v>7</v>
      </c>
      <c r="M49" s="24">
        <f>AVERAGE(Claims[[#This Row],[Coverage]]:Claims[[#This Row],[Service]])</f>
        <v>7</v>
      </c>
      <c r="N49" s="4" t="str" cm="1">
        <f t="array" ref="N49">_xlfn.IFS(Claims[[#This Row],[Policy Type]]="Renters","1 week",Claims[[#This Row],[Average]]&lt;=3,"3 days",TRUE,"")</f>
        <v/>
      </c>
    </row>
    <row r="50" spans="2:14" x14ac:dyDescent="0.2">
      <c r="B50" s="3">
        <v>34248</v>
      </c>
      <c r="C50" s="8">
        <v>47267</v>
      </c>
      <c r="D50" s="3">
        <v>276</v>
      </c>
      <c r="E50" s="3">
        <v>1011</v>
      </c>
      <c r="F50" s="3" t="str">
        <f>HLOOKUP(Claims[[#This Row],[Prefix]],Policy_Types,2,TRUE)</f>
        <v>Home</v>
      </c>
      <c r="G50" s="3" t="s">
        <v>17</v>
      </c>
      <c r="H50" s="4">
        <v>40</v>
      </c>
      <c r="I50" s="3" t="str">
        <f>_xlfn.XLOOKUP(Claims[[#This Row],[Claim Code]],Codes,Claim_Types,,1)</f>
        <v>Life insurance</v>
      </c>
      <c r="J50" s="27">
        <v>5</v>
      </c>
      <c r="K50" s="27">
        <v>5</v>
      </c>
      <c r="L50" s="27">
        <v>6</v>
      </c>
      <c r="M50" s="24">
        <f>AVERAGE(Claims[[#This Row],[Coverage]]:Claims[[#This Row],[Service]])</f>
        <v>5.333333333333333</v>
      </c>
      <c r="N50" s="4" t="str" cm="1">
        <f t="array" ref="N50">_xlfn.IFS(Claims[[#This Row],[Policy Type]]="Renters","1 week",Claims[[#This Row],[Average]]&lt;=3,"3 days",TRUE,"")</f>
        <v/>
      </c>
    </row>
  </sheetData>
  <mergeCells count="10">
    <mergeCell ref="B2:E2"/>
    <mergeCell ref="P4:R4"/>
    <mergeCell ref="P19:R19"/>
    <mergeCell ref="Q20:R20"/>
    <mergeCell ref="P14:R14"/>
    <mergeCell ref="Q15:R15"/>
    <mergeCell ref="D4:E4"/>
    <mergeCell ref="J4:L4"/>
    <mergeCell ref="Q16:R16"/>
    <mergeCell ref="Q17:R17"/>
  </mergeCells>
  <dataValidations count="1">
    <dataValidation allowBlank="1" error="pavI8MeUFtEyxX2I4tky3797a106-ec0e-4e46-89a4-8ff60c2e0ef5" sqref="A1:R50" xr:uid="{00000000-0002-0000-0100-000000000000}"/>
  </dataValidation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A347C-147D-40D7-BEDB-1FA5A82F8B33}">
  <dimension ref="B3:F10"/>
  <sheetViews>
    <sheetView topLeftCell="D1" zoomScale="150" zoomScaleNormal="150" workbookViewId="0">
      <selection activeCell="F3" sqref="F3"/>
    </sheetView>
  </sheetViews>
  <sheetFormatPr baseColWidth="10" defaultColWidth="8.83203125" defaultRowHeight="15" x14ac:dyDescent="0.2"/>
  <cols>
    <col min="1" max="1" width="3.6640625" customWidth="1"/>
    <col min="2" max="2" width="17.83203125" bestFit="1" customWidth="1"/>
    <col min="3" max="3" width="9.6640625" bestFit="1" customWidth="1"/>
    <col min="4" max="4" width="8.1640625" bestFit="1" customWidth="1"/>
    <col min="5" max="5" width="6.5" bestFit="1" customWidth="1"/>
    <col min="6" max="6" width="10.6640625" bestFit="1" customWidth="1"/>
    <col min="7" max="7" width="7" bestFit="1" customWidth="1"/>
    <col min="8" max="8" width="6.6640625" bestFit="1" customWidth="1"/>
    <col min="9" max="9" width="4.83203125" bestFit="1" customWidth="1"/>
    <col min="10" max="10" width="10.6640625" bestFit="1" customWidth="1"/>
  </cols>
  <sheetData>
    <row r="3" spans="2:6" x14ac:dyDescent="0.2">
      <c r="B3" s="53" t="s">
        <v>61</v>
      </c>
      <c r="C3" s="53" t="s">
        <v>63</v>
      </c>
    </row>
    <row r="4" spans="2:6" x14ac:dyDescent="0.2">
      <c r="B4" s="53" t="s">
        <v>62</v>
      </c>
      <c r="C4" t="s">
        <v>16</v>
      </c>
      <c r="D4" t="s">
        <v>17</v>
      </c>
      <c r="E4" t="s">
        <v>18</v>
      </c>
      <c r="F4" t="s">
        <v>59</v>
      </c>
    </row>
    <row r="5" spans="2:6" x14ac:dyDescent="0.2">
      <c r="B5" s="54" t="s">
        <v>23</v>
      </c>
      <c r="C5" s="55">
        <v>5</v>
      </c>
      <c r="D5" s="55">
        <v>1</v>
      </c>
      <c r="E5" s="55">
        <v>2</v>
      </c>
      <c r="F5" s="55">
        <v>8</v>
      </c>
    </row>
    <row r="6" spans="2:6" x14ac:dyDescent="0.2">
      <c r="B6" s="54" t="s">
        <v>25</v>
      </c>
      <c r="C6" s="55">
        <v>1</v>
      </c>
      <c r="D6" s="55">
        <v>2</v>
      </c>
      <c r="E6" s="55">
        <v>1</v>
      </c>
      <c r="F6" s="55">
        <v>4</v>
      </c>
    </row>
    <row r="7" spans="2:6" x14ac:dyDescent="0.2">
      <c r="B7" s="54" t="s">
        <v>26</v>
      </c>
      <c r="C7" s="55">
        <v>2</v>
      </c>
      <c r="D7" s="55">
        <v>3</v>
      </c>
      <c r="E7" s="55">
        <v>2</v>
      </c>
      <c r="F7" s="55">
        <v>7</v>
      </c>
    </row>
    <row r="8" spans="2:6" x14ac:dyDescent="0.2">
      <c r="B8" s="54" t="s">
        <v>27</v>
      </c>
      <c r="C8" s="55"/>
      <c r="D8" s="55">
        <v>2</v>
      </c>
      <c r="E8" s="55">
        <v>1</v>
      </c>
      <c r="F8" s="55">
        <v>3</v>
      </c>
    </row>
    <row r="9" spans="2:6" x14ac:dyDescent="0.2">
      <c r="B9" s="54" t="s">
        <v>28</v>
      </c>
      <c r="C9" s="55"/>
      <c r="D9" s="55">
        <v>1</v>
      </c>
      <c r="E9" s="55">
        <v>2</v>
      </c>
      <c r="F9" s="55">
        <v>3</v>
      </c>
    </row>
    <row r="10" spans="2:6" x14ac:dyDescent="0.2">
      <c r="B10" s="54" t="s">
        <v>59</v>
      </c>
      <c r="C10" s="55">
        <v>8</v>
      </c>
      <c r="D10" s="55">
        <v>9</v>
      </c>
      <c r="E10" s="55">
        <v>8</v>
      </c>
      <c r="F10" s="55">
        <v>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8E5F0-0683-4598-AE4F-0F80B7CBEEC7}">
  <dimension ref="B3:D8"/>
  <sheetViews>
    <sheetView tabSelected="1" workbookViewId="0">
      <selection activeCell="E7" sqref="E7"/>
    </sheetView>
  </sheetViews>
  <sheetFormatPr baseColWidth="10" defaultColWidth="8.83203125" defaultRowHeight="15" x14ac:dyDescent="0.2"/>
  <cols>
    <col min="1" max="1" width="3.6640625" customWidth="1"/>
    <col min="2" max="2" width="17" bestFit="1" customWidth="1"/>
    <col min="3" max="3" width="15.33203125" bestFit="1" customWidth="1"/>
    <col min="4" max="4" width="10.5" bestFit="1" customWidth="1"/>
    <col min="5" max="5" width="6.33203125" bestFit="1" customWidth="1"/>
    <col min="6" max="6" width="10.5" bestFit="1" customWidth="1"/>
    <col min="7" max="39" width="15.33203125" bestFit="1" customWidth="1"/>
    <col min="40" max="40" width="10.5" bestFit="1" customWidth="1"/>
  </cols>
  <sheetData>
    <row r="3" spans="2:4" x14ac:dyDescent="0.2">
      <c r="B3" s="53" t="s">
        <v>65</v>
      </c>
      <c r="C3" s="53" t="s">
        <v>58</v>
      </c>
    </row>
    <row r="4" spans="2:4" x14ac:dyDescent="0.2">
      <c r="C4" t="s">
        <v>64</v>
      </c>
      <c r="D4" t="s">
        <v>59</v>
      </c>
    </row>
    <row r="6" spans="2:4" x14ac:dyDescent="0.2">
      <c r="B6" s="53" t="s">
        <v>60</v>
      </c>
    </row>
    <row r="7" spans="2:4" x14ac:dyDescent="0.2">
      <c r="B7" s="54" t="s">
        <v>26</v>
      </c>
      <c r="C7" s="56">
        <v>4.25</v>
      </c>
      <c r="D7" s="56">
        <v>4.25</v>
      </c>
    </row>
    <row r="8" spans="2:4" x14ac:dyDescent="0.2">
      <c r="B8" s="54" t="s">
        <v>59</v>
      </c>
      <c r="C8" s="56">
        <v>4.25</v>
      </c>
      <c r="D8" s="56">
        <v>4.25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4DF38-9AD3-433E-A99D-0293E39C6383}">
  <dimension ref="A1:N12"/>
  <sheetViews>
    <sheetView workbookViewId="0">
      <selection activeCell="G1" sqref="G1"/>
    </sheetView>
  </sheetViews>
  <sheetFormatPr baseColWidth="10" defaultColWidth="9" defaultRowHeight="16" x14ac:dyDescent="0.2"/>
  <cols>
    <col min="1" max="1" width="14.83203125" style="2" customWidth="1"/>
    <col min="2" max="6" width="10.5" style="2" customWidth="1"/>
    <col min="7" max="7" width="3.6640625" style="2" customWidth="1"/>
    <col min="8" max="8" width="15.6640625" style="2" bestFit="1" customWidth="1"/>
    <col min="9" max="9" width="10.6640625" style="2" bestFit="1" customWidth="1"/>
    <col min="10" max="16384" width="9" style="2"/>
  </cols>
  <sheetData>
    <row r="1" spans="1:14" ht="52" customHeight="1" x14ac:dyDescent="0.2"/>
    <row r="3" spans="1:14" ht="27" thickBot="1" x14ac:dyDescent="0.4">
      <c r="A3" s="51" t="s">
        <v>44</v>
      </c>
      <c r="B3" s="51"/>
      <c r="C3" s="51"/>
      <c r="D3" s="51"/>
      <c r="E3" s="51"/>
      <c r="F3" s="51"/>
      <c r="H3" s="52" t="s">
        <v>45</v>
      </c>
      <c r="I3" s="52"/>
      <c r="J3" s="52"/>
      <c r="K3" s="1"/>
      <c r="L3" s="1"/>
      <c r="M3" s="1"/>
      <c r="N3" s="1"/>
    </row>
    <row r="4" spans="1:14" x14ac:dyDescent="0.2">
      <c r="A4" s="19" t="s">
        <v>1</v>
      </c>
      <c r="B4" s="20">
        <v>100</v>
      </c>
      <c r="C4" s="20">
        <v>200</v>
      </c>
      <c r="D4" s="20">
        <v>300</v>
      </c>
      <c r="E4" s="20">
        <v>400</v>
      </c>
      <c r="F4" s="20">
        <v>500</v>
      </c>
      <c r="H4" s="18" t="s">
        <v>7</v>
      </c>
      <c r="I4" s="18" t="s">
        <v>6</v>
      </c>
    </row>
    <row r="5" spans="1:14" x14ac:dyDescent="0.2">
      <c r="A5" s="21" t="s">
        <v>5</v>
      </c>
      <c r="B5" s="22" t="s">
        <v>13</v>
      </c>
      <c r="C5" s="22" t="s">
        <v>11</v>
      </c>
      <c r="D5" s="22" t="s">
        <v>14</v>
      </c>
      <c r="E5" s="22" t="s">
        <v>12</v>
      </c>
      <c r="F5" s="22" t="s">
        <v>15</v>
      </c>
      <c r="H5" s="23" t="s">
        <v>24</v>
      </c>
      <c r="I5" s="17">
        <v>1</v>
      </c>
      <c r="J5" s="14"/>
    </row>
    <row r="6" spans="1:14" x14ac:dyDescent="0.2">
      <c r="H6" s="23" t="s">
        <v>23</v>
      </c>
      <c r="I6" s="17">
        <v>11</v>
      </c>
      <c r="J6" s="14"/>
    </row>
    <row r="7" spans="1:14" x14ac:dyDescent="0.2">
      <c r="A7" s="1"/>
      <c r="B7" s="1"/>
      <c r="C7" s="1"/>
      <c r="D7" s="1"/>
      <c r="E7" s="1"/>
      <c r="F7" s="1"/>
      <c r="G7" s="1"/>
      <c r="H7" s="23" t="s">
        <v>25</v>
      </c>
      <c r="I7" s="17">
        <v>16</v>
      </c>
      <c r="J7" s="14"/>
    </row>
    <row r="8" spans="1:14" x14ac:dyDescent="0.2">
      <c r="A8" s="1"/>
      <c r="B8" s="1"/>
      <c r="C8" s="1"/>
      <c r="D8" s="1"/>
      <c r="E8" s="1"/>
      <c r="F8" s="1"/>
      <c r="G8" s="1"/>
      <c r="H8" s="23" t="s">
        <v>26</v>
      </c>
      <c r="I8" s="17">
        <v>30</v>
      </c>
      <c r="J8" s="14"/>
    </row>
    <row r="9" spans="1:14" x14ac:dyDescent="0.2">
      <c r="A9" s="1"/>
      <c r="B9" s="1"/>
      <c r="C9" s="1"/>
      <c r="D9" s="1"/>
      <c r="E9" s="1"/>
      <c r="F9" s="1"/>
      <c r="G9" s="1"/>
      <c r="H9" s="23" t="s">
        <v>27</v>
      </c>
      <c r="I9" s="17">
        <v>40</v>
      </c>
      <c r="J9" s="14"/>
    </row>
    <row r="10" spans="1:14" x14ac:dyDescent="0.2">
      <c r="A10" s="1"/>
      <c r="B10" s="1"/>
      <c r="C10" s="1"/>
      <c r="D10" s="1"/>
      <c r="E10" s="1"/>
      <c r="F10" s="1"/>
      <c r="G10" s="1"/>
      <c r="H10" s="14" t="s">
        <v>28</v>
      </c>
      <c r="I10" s="17">
        <v>60</v>
      </c>
      <c r="J10" s="14"/>
    </row>
    <row r="11" spans="1:14" x14ac:dyDescent="0.2">
      <c r="A11" s="1"/>
      <c r="B11" s="1"/>
      <c r="C11" s="1"/>
      <c r="D11" s="1"/>
      <c r="E11" s="1"/>
      <c r="F11" s="1"/>
      <c r="G11" s="1"/>
    </row>
    <row r="12" spans="1:14" x14ac:dyDescent="0.2">
      <c r="A12" s="1"/>
      <c r="B12" s="1"/>
      <c r="C12" s="1"/>
      <c r="D12" s="1"/>
      <c r="E12" s="1"/>
      <c r="F12" s="1"/>
      <c r="G12" s="1"/>
    </row>
  </sheetData>
  <mergeCells count="2">
    <mergeCell ref="A3:F3"/>
    <mergeCell ref="H3:J3"/>
  </mergeCells>
  <dataValidations count="1">
    <dataValidation allowBlank="1" error="pavI8MeUFtEyxX2I4tky3797a106-ec0e-4e46-89a4-8ff60c2e0ef5" sqref="A1:N12" xr:uid="{00000000-0002-0000-0400-000000000000}"/>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radingEngineProps xmlns="http://tempuri.org/temp">
  <UserID>{3797a106-ec0e-4e46-89a4-8ff60c2e0ef5}</UserID>
  <AssignmentID>{3797a106-ec0e-4e46-89a4-8ff60c2e0ef5}</AssignmentID>
</GradingEngineProps>
</file>

<file path=customXml/itemProps1.xml><?xml version="1.0" encoding="utf-8"?>
<ds:datastoreItem xmlns:ds="http://schemas.openxmlformats.org/officeDocument/2006/customXml" ds:itemID="{5375F538-3B47-41C3-87AE-9C2F65A5BBE7}">
  <ds:schemaRefs>
    <ds:schemaRef ds:uri="http://tempuri.org/tem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Documentation</vt:lpstr>
      <vt:lpstr>Claims Log</vt:lpstr>
      <vt:lpstr>Claim Type by Agent</vt:lpstr>
      <vt:lpstr>Ratings by Claim Type</vt:lpstr>
      <vt:lpstr>Lookups</vt:lpstr>
      <vt:lpstr>Claim_Types</vt:lpstr>
      <vt:lpstr>Codes</vt:lpstr>
      <vt:lpstr>Policy_Types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Name</dc:creator>
  <cp:keywords>© 2025 Cengage Learning.</cp:keywords>
  <cp:lastModifiedBy>Botros, Peter</cp:lastModifiedBy>
  <dcterms:created xsi:type="dcterms:W3CDTF">2022-11-17T18:52:23Z</dcterms:created>
  <dcterms:modified xsi:type="dcterms:W3CDTF">2026-03-02T20:28:18Z</dcterms:modified>
</cp:coreProperties>
</file>